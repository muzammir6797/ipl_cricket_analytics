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zam\ipl_cricket_analytics\reports\"/>
    </mc:Choice>
  </mc:AlternateContent>
  <xr:revisionPtr revIDLastSave="0" documentId="13_ncr:1_{19893641-2CE1-4B82-8277-03C67375CE47}" xr6:coauthVersionLast="47" xr6:coauthVersionMax="47" xr10:uidLastSave="{00000000-0000-0000-0000-000000000000}"/>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<sst xmlns="http://schemas.openxmlformats.org/spreadsheetml/2006/main" count="865" uniqueCount="433">
  <si>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</si>
  <si>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</si>
  <si>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</si>
  <si>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</si>
  <si>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</si>
  <si>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</si>
  <si>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</si>
  <si>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</si>
  <si>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</si>
  <si>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</si>
  <si>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</si>
  <si>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</si>
  <si>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</si>
  <si>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</si>
  <si>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</si>
  <si>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</si>
  <si>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</si>
  <si>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</si>
  <si>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</si>
  <si>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</si>
  <si>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</si>
  <si>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</si>
  <si>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</si>
  <si>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</si>
  <si>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</si>
  <si>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</si>
  <si>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</si>
  <si>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</si>
  <si>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</si>
  <si>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</si>
  <si>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</si>
  <si>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</si>
  <si>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</si>
  <si>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</si>
  <si>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</si>
  <si>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</si>
  <si>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</si>
  <si>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</si>
  <si>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</si>
  <si>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</si>
  <si>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</si>
  <si>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</si>
  <si>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</si>
  <si>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</si>
  <si>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</si>
  <si>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</si>
  <si>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</si>
  <si>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</si>
  <si>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</si>
  <si>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</si>
  <si>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</si>
  <si>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deliveries</t>
  </si>
  <si>
    <t>FILE DESCRIPTION</t>
  </si>
  <si>
    <t>Each row represent bowls delivered during ipl 2008-2026</t>
  </si>
  <si>
    <t>FILE STATS</t>
  </si>
  <si>
    <t>Format</t>
  </si>
  <si>
    <t>File Size</t>
  </si>
  <si>
    <t>Sampling used?</t>
  </si>
  <si>
    <t>Csv</t>
  </si>
  <si>
    <t>4.4MB</t>
  </si>
  <si>
    <t>No — full file opened.</t>
  </si>
  <si>
    <t>SHEET NAME</t>
  </si>
  <si>
    <t>SHEET DESCRIPTION</t>
  </si>
  <si>
    <t>One sheet in the table represent deliveries from IPL 2008-2026</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</si>
  <si>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</si>
  <si>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</si>
  <si>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</si>
  <si>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</si>
  <si>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</si>
  <si>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</si>
  <si>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</si>
  <si>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</si>
  <si>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</si>
  <si>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</si>
  <si>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</si>
  <si>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</si>
  <si>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</si>
  <si>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</si>
  <si>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</si>
  <si>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</si>
  <si>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</si>
  <si>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</si>
  <si>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</si>
  <si>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</si>
  <si>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</si>
  <si>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</si>
  <si>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</si>
  <si>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</si>
  <si>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</si>
  <si>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</si>
  <si>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</si>
  <si>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</si>
  <si>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</si>
  <si>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</si>
  <si>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</si>
  <si>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</si>
  <si>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</si>
  <si>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</si>
  <si>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</si>
  <si>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</si>
  <si>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</si>
  <si>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Year of the IPL season this delivery belongs to.</t>
  </si>
  <si>
    <t>ID of the match this delivery belongs to.</t>
  </si>
  <si>
    <t>Name of the batter facing this delivery.</t>
  </si>
  <si>
    <t>Name of the bowler delivering this ball.</t>
  </si>
  <si>
    <t>Name of the batter standing at the non-striker's end for this delivery.</t>
  </si>
  <si>
    <t>Over number within the innings (0-indexed, so 0-19 for a 20-over innings).</t>
  </si>
  <si>
    <t>Ball number within the over (0-indexed, normally 0-5).</t>
  </si>
  <si>
    <t>Runs scored off the bat by the batter on this delivery.</t>
  </si>
  <si>
    <t>Total extra runs conceded on this delivery (wides + no-balls + byes + leg-byes + penalty combined).</t>
  </si>
  <si>
    <t>Total runs scored on this delivery (batter_runs + extras).</t>
  </si>
  <si>
    <t>Batting handedness of the batter on strike for this delivery.</t>
  </si>
  <si>
    <t>Bowling style of the bowler delivering this ball.</t>
  </si>
  <si>
    <t>Name of the batter dismissed on this delivery, if a wicket fell.</t>
  </si>
  <si>
    <t>Fielder(s) credited with the dismissal (e.g. the catcher, or fielders in a run-out), stored as a text-formatted list.</t>
  </si>
  <si>
    <t>Flag: 1 if this delivery resulted in a dismissal, 0 otherwise.</t>
  </si>
  <si>
    <t>Flag: 1 if this delivery was called a wide.</t>
  </si>
  <si>
    <t>Flag: 1 if this delivery was called a no-ball.</t>
  </si>
  <si>
    <t>Flag: 1 if runs on this delivery were credited as leg-byes.</t>
  </si>
  <si>
    <t>Flag: 1 if runs on this delivery were credited as byes.</t>
  </si>
  <si>
    <t>Flag: 1 if this delivery included a penalty-run award.</t>
  </si>
  <si>
    <t>Runs conceded specifically as wide-ball extras (0 when the delivery isn't a wide).</t>
  </si>
  <si>
    <t>Runs conceded specifically as no-ball extras.</t>
  </si>
  <si>
    <t>Runs credited as leg-byes.</t>
  </si>
  <si>
    <t>Runs credited as byes.</t>
  </si>
  <si>
    <t>Runs credited as a penalty award.</t>
  </si>
  <si>
    <t>Method of dismissal (bowled, caught, run out, lbw, stumped, etc.).</t>
  </si>
  <si>
    <t>Flag: 1 if this delivery occurred during a super over (tie-breaker).</t>
  </si>
  <si>
    <t>Innings number within the match.</t>
  </si>
  <si>
    <t>Numeric team ID of the batting side for this delivery.</t>
  </si>
  <si>
    <t>Numeric team ID of the bowling side for this delivery.</t>
  </si>
  <si>
    <t>Name of the batting team for this delivery.</t>
  </si>
  <si>
    <t>Name of the bowling team for this delivery.</t>
  </si>
  <si>
    <t>Data Type</t>
  </si>
  <si>
    <t>General/Year</t>
  </si>
  <si>
    <t>General/Numeric</t>
  </si>
  <si>
    <t>General/String</t>
  </si>
  <si>
    <t>Key Type</t>
  </si>
  <si>
    <t>Foreign Key (matches.season_id)</t>
  </si>
  <si>
    <t>Foreign Key (matches.match_id)</t>
  </si>
  <si>
    <t>Foreign Key (by name, to players.player_name)</t>
  </si>
  <si>
    <t>None</t>
  </si>
  <si>
    <t>Foreign Key (teams.team_id)</t>
  </si>
  <si>
    <t>Foreign Key (by name, to teams.team_name)</t>
  </si>
  <si>
    <t>Sample Values</t>
  </si>
  <si>
    <t>2008, 2017, 2018 ...</t>
  </si>
  <si>
    <t>335982, 1082591, 1082593 ...</t>
  </si>
  <si>
    <t>SC Ganguly, BB McCullum, RT Ponting ...</t>
  </si>
  <si>
    <t>P Kumar, Z Khan, AA Noffke ...</t>
  </si>
  <si>
    <t>BB McCullum, SC Ganguly, RT Ponting ...</t>
  </si>
  <si>
    <t>0, 1, 2 ...</t>
  </si>
  <si>
    <t>0, 4, 6 ...</t>
  </si>
  <si>
    <t>1, 0, 5 ...</t>
  </si>
  <si>
    <t>1, 0, 4 ...</t>
  </si>
  <si>
    <t>Left hand Bat, Right hand Bat ...</t>
  </si>
  <si>
    <t>Right arm Medium, Left arm Fast medium, Right arm Fast medium ...</t>
  </si>
  <si>
    <t>SC Ganguly, RT Ponting, DJ Hussey ...</t>
  </si>
  <si>
    <t>['JH Kallis'], ['P Kumar'], ['CL White'] ...</t>
  </si>
  <si>
    <t>0, 1 ...</t>
  </si>
  <si>
    <t>1, 0 ...</t>
  </si>
  <si>
    <t>0, 1, 5 ...</t>
  </si>
  <si>
    <t>0, 4, 1 ...</t>
  </si>
  <si>
    <t>0, 5 ...</t>
  </si>
  <si>
    <t>caught, bowled, run out ...</t>
  </si>
  <si>
    <t>1, 2, 3 ...</t>
  </si>
  <si>
    <t>6, 1, 2 ...</t>
  </si>
  <si>
    <t>1, 6, 2 ...</t>
  </si>
  <si>
    <t>Kolkata Knight Riders, Royal Challengers Bangalore, Sunrisers Hyderabad ...</t>
  </si>
  <si>
    <t>Royal Challengers Bangalore, Kolkata Knight Riders, Sunrisers Hyderabad ...</t>
  </si>
  <si>
    <t>Distinct Count</t>
  </si>
  <si>
    <t>Unique Values (if ≤20)</t>
  </si>
  <si>
    <t>2008, 2009, 2010, 2011, 2012, 2013, 2014, 2015, 2016, 2017, 2018, 2019, 2020, 2021, 2022, 2023, 2024, 2025, 2026 (19)</t>
  </si>
  <si>
    <t>—</t>
  </si>
  <si>
    <t>0, 1, 10, 11, 12, 13, 14, 15, 16, 17, 18, 19, 2, 3, 4, 5, 6, 7, 8, 9 (20)</t>
  </si>
  <si>
    <t>0, 1, 10, 2, 3, 4, 5, 6, 7, 8, 9 (11)</t>
  </si>
  <si>
    <t>0, 1, 2, 3, 4, 5, 6 (7)</t>
  </si>
  <si>
    <t>0, 1, 2, 3, 4, 5, 7 (7)</t>
  </si>
  <si>
    <t>0, 1, 2, 3, 4, 5, 6, 7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</si>
  <si>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</si>
  <si>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</si>
  <si>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</si>
  <si>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</si>
  <si>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</si>
  <si>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</si>
  <si>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</si>
  <si>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</si>
  <si>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1, 129, 134, 1414, 1419, 2, 252, 3, 4, 494, 5, 6, 614, 615 (14)</t>
  </si>
  <si>
    <t>Chennai Super Kings, Delhi Capitals, Gujarat Lions, Gujarat Titans, Kochi Tuskers Kerala, Kolkata Knight Riders, Lucknow Super Giants, Mumbai Indians, Pune Warriors, Punjab Kings, Rajasthan Royals, Rising Pune Supergiant, Royal Challengers Bangalore, Sunrisers Hyderabad (14)</t>
  </si>
  <si>
    <t>% Missing</t>
  </si>
  <si>
    <t>0.0%</t>
  </si>
  <si>
    <t>0.08%</t>
  </si>
  <si>
    <t>0.12%</t>
  </si>
  <si>
    <t>95.02%</t>
  </si>
  <si>
    <t>Data Quality Notes</t>
  </si>
  <si>
    <t>None noted.</t>
  </si>
  <si>
    <t>Values above 5 occur because wides/no-balls are illegal deliveries that get an extra ball_number without advancing the over — expected, not an error.</t>
  </si>
  <si>
    <t>Denormalised copy of players.bat_style; missing for &lt;0.1% of rows where the batter isn't in players.csv.</t>
  </si>
  <si>
    <t>Denormalised copy of players.bowl_style; missing for &lt;0.2% of rows.</t>
  </si>
  <si>
    <t>Missing for ~95% of rows — populated only on the deliveries that produced a wicket, which matches is_wicket.</t>
  </si>
  <si>
    <t>Missing for ~95% of rows (wicket deliveries only), and can still be blank on some wicket rows where no fielder is involved (e.g. bowled, lbw).</t>
  </si>
  <si>
    <t>Rare — only two possible values (0 or 5) in this data.</t>
  </si>
  <si>
    <t>Missing for ~95% of rows — populated only on wicket deliveries, matching is_wicket/player_out.</t>
  </si>
  <si>
    <t>Values 1-2 are the normal innings; 3-6 cover super-over innings for matches that went to a tie-breaker.</t>
  </si>
  <si>
    <t>Denormalised copy of batting_team_id — redundant but convenient for readability.</t>
  </si>
  <si>
    <t>Denormalised copy of bowling_team_id — redundant but convenient for readability.</t>
  </si>
  <si>
    <t>players.csv</t>
  </si>
  <si>
    <t>Master list of players who have appeared in the dataset (dimension table). One row per player.</t>
  </si>
  <si>
    <t>CSV</t>
  </si>
  <si>
    <t>0.06 MB</t>
  </si>
  <si>
    <t>No — full file opened (799 rows).</t>
  </si>
  <si>
    <t>players</t>
  </si>
  <si>
    <t>One row per player, giving ID, playing name, full name, batting hand and bowling style.</t>
  </si>
  <si>
    <t>player_id</t>
  </si>
  <si>
    <t>player_name</t>
  </si>
  <si>
    <t>bat_style</t>
  </si>
  <si>
    <t>bowl_style</t>
  </si>
  <si>
    <t>field_pos</t>
  </si>
  <si>
    <t>player_full_name</t>
  </si>
  <si>
    <t>Unique numeric ID for each player.</t>
  </si>
  <si>
    <t>Short/common playing name as it appears on scorecards. This is the value used in deliveries.batter, deliveries.bowler, deliveries.non_striker and deliveries.player_out.</t>
  </si>
  <si>
    <t>Batting handedness of the player.</t>
  </si>
  <si>
    <t>Bowling style/type of the player (e.g. Right arm Offbreak, Legbreak, Left arm Fast medium).</t>
  </si>
  <si>
    <t>Intended to capture a player's fielding/keeping role.</t>
  </si>
  <si>
    <t>Player's full/legal name.</t>
  </si>
  <si>
    <t>ID/Key</t>
  </si>
  <si>
    <t>Categorical</t>
  </si>
  <si>
    <t>Text</t>
  </si>
  <si>
    <t>Primary Key</t>
  </si>
  <si>
    <t>Foreign Key (referenced by name from deliveries.csv)</t>
  </si>
  <si>
    <t>963, 53, 12 ...</t>
  </si>
  <si>
    <t>MN Samuels, SB Jakati, DA Warner ...</t>
  </si>
  <si>
    <t>Right hand Bat, Left hand Bat ...</t>
  </si>
  <si>
    <t>Right arm Offbreak, Slow Left arm Orthodox, Legbreak ...</t>
  </si>
  <si>
    <t xml:space="preserve"> , Wicketkeeper, Occasional Wicketkeeper ...</t>
  </si>
  <si>
    <t>Marlon Nathaniel Samuels, Shadab Bashir Jakati, David Andrew Warner ...</t>
  </si>
  <si>
    <t xml:space="preserve"> , Occasional Wicketkeeper, Right arm Fast, Right arm Medium, Slow Left arm Orthodox, Wicketkeeper, Wicketkeeper Batter (7)</t>
  </si>
  <si>
    <t>2.38%</t>
  </si>
  <si>
    <t>11.01%</t>
  </si>
  <si>
    <t>Missing for ~2% of players — expected for specialist batters/wicketkeepers who don't bowl.</t>
  </si>
  <si>
    <t>Values are inconsistent — mostly blank/whitespace, some hold genuine roles ('Wicketkeeper'), but others duplicate bowling-style text ('Right arm Fast', 'Slow Left arm Orthodox') that looks copied from bowl_style rather than a fielding position. Treat this column as unreliable until cleaned; missing for ~11% of rows.</t>
  </si>
  <si>
    <t>teams.csv</t>
  </si>
  <si>
    <t>Master list of IPL franchises (dimension table). One row per team.</t>
  </si>
  <si>
    <t>&lt; 0.01 MB</t>
  </si>
  <si>
    <t>No — full file opened (16 rows).</t>
  </si>
  <si>
    <t>teams</t>
  </si>
  <si>
    <t>One row per IPL franchise, giving its ID and name.</t>
  </si>
  <si>
    <t>team_id</t>
  </si>
  <si>
    <t>team_name</t>
  </si>
  <si>
    <t>Unique numeric ID for each IPL franchise, assigned by the source system.</t>
  </si>
  <si>
    <t>Full franchise name as used in match records.</t>
  </si>
  <si>
    <t>Royal Challengers Bangalore, Sunrisers Hyderabad, Mumbai Indians ...</t>
  </si>
  <si>
    <t>1, 1068, 129, 134, 1414, 1419, 2, 252, 3, 3604, 4, 494, 5, 6, 614, 615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</si>
  <si>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</si>
  <si>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IDs are not sequential (e.g. 1068, 3604) for franchises added in later seasons (Gujarat Titans, Lucknow Super Giants) — expected, not an error.</t>
  </si>
  <si>
    <t>'Rising Pune Supergiant' and 'Rising Pune Supergiants' both appear as separate rows for what is the same 2016-17 franchise — a naming inconsistency to fix before joining on team_name. Older rebranded names (e.g. Delhi Daredevils, Kings XI Punjab) are not kept as separate rows; only the current name is stored.</t>
  </si>
  <si>
    <t>matches.csv</t>
  </si>
  <si>
    <t>One row per IPL match (2008-2026): teams, venue, toss, result and awards. Sits between the team/venue/player dimensions and the ball-by-ball deliveries fact table.</t>
  </si>
  <si>
    <t>0.28 MB</t>
  </si>
  <si>
    <t>No — full file opened (1,212 rows).</t>
  </si>
  <si>
    <t>matches</t>
  </si>
  <si>
    <t>One row per match, covering scheduling info, teams/toss/result, and award/venue references.</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</si>
  <si>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</si>
  <si>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</si>
  <si>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</si>
  <si>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</si>
  <si>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</si>
  <si>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</si>
  <si>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</si>
  <si>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</si>
  <si>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</si>
  <si>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</si>
  <si>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</si>
  <si>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</si>
  <si>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</si>
  <si>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</si>
  <si>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</si>
  <si>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</si>
  <si>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</si>
  <si>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</si>
  <si>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</si>
  <si>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</si>
  <si>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</si>
  <si>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</si>
  <si>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</si>
  <si>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</si>
  <si>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</si>
  <si>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</si>
  <si>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 for each match. Joins to deliveries.match_id.</t>
  </si>
  <si>
    <t>Numeric year identifying the IPL season the match belongs to.</t>
  </si>
  <si>
    <t>Number of legal balls per over (standard cricket rule).</t>
  </si>
  <si>
    <t>City where the match was played.</t>
  </si>
  <si>
    <t>Calendar date the match was played (YYYY-MM-DD).</t>
  </si>
  <si>
    <t>Name of the tournament.</t>
  </si>
  <si>
    <t>Match's sequential number within its season (e.g. 1 = tournament opener).</t>
  </si>
  <si>
    <t>Gender category of the competition.</t>
  </si>
  <si>
    <t>Match format code.</t>
  </si>
  <si>
    <t>Match format name.</t>
  </si>
  <si>
    <t>Number of overs per innings for this match format.</t>
  </si>
  <si>
    <t>Season label as text.</t>
  </si>
  <si>
    <t>Level of competition.</t>
  </si>
  <si>
    <t>Name of the stadium hosting the match.</t>
  </si>
  <si>
    <t>Name of the team that won the pre-match coin toss.</t>
  </si>
  <si>
    <t>Name of the first-listed team in the match.</t>
  </si>
  <si>
    <t>Name of the second-listed team in the match.</t>
  </si>
  <si>
    <t>What the toss-winning team elected to do first.</t>
  </si>
  <si>
    <t>Name of the team that won the match.</t>
  </si>
  <si>
    <t>Margin of victory in runs, populated only when the team batting first won the match.</t>
  </si>
  <si>
    <t>Margin of victory in wickets, populated only when the chasing team won the match.</t>
  </si>
  <si>
    <t>Match outcome type.</t>
  </si>
  <si>
    <t>Name of the player awarded 'Player of the Match'.</t>
  </si>
  <si>
    <t>Numeric team ID for team1.</t>
  </si>
  <si>
    <t>Numeric team ID for team2.</t>
  </si>
  <si>
    <t>Numeric team ID of the toss-winning team.</t>
  </si>
  <si>
    <t>Numeric team ID of the match-winning team.</t>
  </si>
  <si>
    <t>Numeric player ID of the Player of the Match.</t>
  </si>
  <si>
    <t>Numeric</t>
  </si>
  <si>
    <t>Date/Time</t>
  </si>
  <si>
    <t>Foreign Key (season)</t>
  </si>
  <si>
    <t>Foreign Key (by name, to venues.venue)</t>
  </si>
  <si>
    <t>Foreign Key (players.player_id)</t>
  </si>
  <si>
    <t>335982, 1082591, 1082592 ...</t>
  </si>
  <si>
    <t>6 ...</t>
  </si>
  <si>
    <t>Bangalore, Hyderabad, Pune ...</t>
  </si>
  <si>
    <t>2008-04-18, 2017-04-05, 2017-04-06 ...</t>
  </si>
  <si>
    <t>Indian Premier League ...</t>
  </si>
  <si>
    <t>1.0, 2.0, 3.0 ...</t>
  </si>
  <si>
    <t>male ...</t>
  </si>
  <si>
    <t>T20 ...</t>
  </si>
  <si>
    <t>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</si>
  <si>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</si>
  <si>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</si>
  <si>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</si>
  <si>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</si>
  <si>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</si>
  <si>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bat ...</t>
  </si>
  <si>
    <t>Kolkata Knight Riders, Sunrisers Hyderabad, Rising Pune Supergiant ...</t>
  </si>
  <si>
    <t>140.0, 35.0, 15.0 ...</t>
  </si>
  <si>
    <t>7.0, 10.0, 6.0 ...</t>
  </si>
  <si>
    <t>win, tie, no result ...</t>
  </si>
  <si>
    <t>BB McCullum, Yuvraj Singh, SPD Smith ...</t>
  </si>
  <si>
    <t>1, 2, 4 ...</t>
  </si>
  <si>
    <t>6, 1, 3 ...</t>
  </si>
  <si>
    <t>1, 4, 6 ...</t>
  </si>
  <si>
    <t>6, 2, 4 ...</t>
  </si>
  <si>
    <t>46.0, 15.0, 36.0 ...</t>
  </si>
  <si>
    <t>6 (1)</t>
  </si>
  <si>
    <t>Indian Premier League (1)</t>
  </si>
  <si>
    <t>male (1)</t>
  </si>
  <si>
    <t>T20 (1)</t>
  </si>
  <si>
    <t>20 (1)</t>
  </si>
  <si>
    <t>2008, 2009, 2010, 2011, 2012, 2013, 2014, 2015, 2016, 2017, 2018, 2019, 2020/21, 2021, 2022, 2023, 2024, 2025, 2026 (19)</t>
  </si>
  <si>
    <t>club (1)</t>
  </si>
  <si>
    <t>bat, field (2)</t>
  </si>
  <si>
    <t>1.0, 10.0, 2.0, 3.0, 4.0, 5.0, 6.0, 7.0, 8.0, 9.0 (10)</t>
  </si>
  <si>
    <t>no result, tie, win (3)</t>
  </si>
  <si>
    <t>4.21%</t>
  </si>
  <si>
    <t>5.78%</t>
  </si>
  <si>
    <t>54.95%</t>
  </si>
  <si>
    <t>47.11%</t>
  </si>
  <si>
    <t>0.74%</t>
  </si>
  <si>
    <t>Data runs through season 2026, i.e. includes matches beyond this dictionary's preparation date — confirm with the data owner whether the latest season is complete or still in progress.</t>
  </si>
  <si>
    <t>Constant value (6) for every row — carries no analytical information, safe to ignore or drop.</t>
  </si>
  <si>
    <t>Missing for ~4% of matches — mainly venues where city wasn't recorded (e.g. some overseas legs).</t>
  </si>
  <si>
    <t>Constant value ('Indian Premier League') for every row — redundant column, safe to ignore.</t>
  </si>
  <si>
    <t>Missing for ~6% of matches — these are the named playoff fixtures (Qualifier 1/2, Eliminator, Final) which aren't given a plain sequential number in the source.</t>
  </si>
  <si>
    <t>Constant value ('male') for every row — redundant column.</t>
  </si>
  <si>
    <t>Constant value ('T20') for every row — redundant, duplicates the 'format' column.</t>
  </si>
  <si>
    <t>Constant value ('T20') for every row — duplicates match_type.</t>
  </si>
  <si>
    <t>Constant value (20) for every row — redundant column.</t>
  </si>
  <si>
    <t>One value ('2020/21') is formatted differently from the rest (which are plain years) — that's the COVID-delayed season played in the UAE. Standardise before grouping/sorting by season as text.</t>
  </si>
  <si>
    <t>Constant value ('club') for every row — redundant column.</t>
  </si>
  <si>
    <t>Joined to venues.csv by matching text, not by venue_id — check spelling matches exactly (e.g. trailing sub-ground names) before joining.</t>
  </si>
  <si>
    <t>'team1' is simply the first team listed for the fixture, not necessarily the team that batted first — use toss_decision/innings order for that.</t>
  </si>
  <si>
    <t>Missing (~55%) whenever the match was instead won by wickets, tied, or had no result — expected, not an error; win_by_runs and win_by_wickets are mutually exclusive.</t>
  </si>
  <si>
    <t>Missing (~47%) whenever the match was won by runs, tied, or had no result — complementary to win_by_runs.</t>
  </si>
  <si>
    <t>Missing for &lt;1% of matches — matches with no result/abandoned games have no award.</t>
  </si>
  <si>
    <t>Fully populated even though a handful of matches have result = 'tie' or 'no result' — confirm with data owner how those cases are encoded (e.g. super-over winner used for ties).</t>
  </si>
  <si>
    <t>Missing for the same &lt;1% of matches as player_of_match.</t>
  </si>
  <si>
    <t>venues.csv</t>
  </si>
  <si>
    <t>Master list of cricket grounds/stadiums used across IPL seasons (dimension table). One row per venue.</t>
  </si>
  <si>
    <t>No — full file opened (63 rows).</t>
  </si>
  <si>
    <t>venues</t>
  </si>
  <si>
    <t>One row per venue, giving its ID, name and city.</t>
  </si>
  <si>
    <t>venue_id</t>
  </si>
  <si>
    <t>Unique numeric ID for each cricket ground/stadium.</t>
  </si>
  <si>
    <t>Name of the stadium/ground hosting the match.</t>
  </si>
  <si>
    <t>City where the venue is located.</t>
  </si>
  <si>
    <t>3.17%</t>
  </si>
  <si>
    <t>A few venue names include the sub-ground in parentheses/comma form (e.g. 'Rajiv Gandhi International Stadium, Uppal'), which is fine but worth being consistent about when matching against matches.venue text.</t>
  </si>
  <si>
    <t>Missing for a small number of venues (~3%) — likely overseas/neutral venues where city wasn't recorded consistently.</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</si>
  <si>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</si>
  <si>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</si>
  <si>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</si>
  <si>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</si>
  <si>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</si>
  <si>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</si>
  <si>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</si>
  <si>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</si>
  <si>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</si>
  <si>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</si>
  <si>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</si>
  <si>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</si>
  <si>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</si>
  <si>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</si>
  <si>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</si>
  <si>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</si>
  <si>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</si>
  <si>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</si>
  <si>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</si>
  <si>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</si>
  <si>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</si>
  <si>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</si>
  <si>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</si>
  <si>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</si>
  <si>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</si>
  <si>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</si>
  <si>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</si>
  <si>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</si>
  <si>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</si>
  <si>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</si>
  <si>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</si>
  <si>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</si>
  <si>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</si>
  <si>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</si>
  <si>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</si>
  <si>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</si>
  <si>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</si>
  <si>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</si>
  <si>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</si>
  <si>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muzammir</t>
  </si>
  <si>
    <t>ipl_cricket_analytics</t>
  </si>
  <si>
    <t>ipl database</t>
  </si>
  <si>
    <t>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</si>
</sst>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1"/>
      <color rgb="FF000000"/>
      <name val="Calibri"/>
      <charset val="1"/>
    </font>
    <font>
      <sz val="11"/>
      <color rgb="FF5F5E5A"/>
      <name val="Calibri"/>
    </font>
  </fonts>
  <fills count="10">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
      <patternFill patternType="solid">
        <fgColor rgb="FFEAEAEA"/>
      </patternFill>
    </fill>
  </fills>
  <borders count="12">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style="thin">
        <color rgb="FFC9CFD8"/>
      </left>
      <right/>
      <top style="thin">
        <color rgb="FFC9CFD8"/>
      </top>
      <bottom style="medium">
        <color rgb="FF143963"/>
      </bottom>
      <diagonal/>
    </border>
    <border>
      <left/>
      <right/>
      <top style="thin">
        <color rgb="FFC9CFD8"/>
      </top>
      <bottom style="medium">
        <color rgb="FF143963"/>
      </bottom>
      <diagonal/>
    </border>
    <border>
      <left/>
      <right style="thin">
        <color rgb="FFC9CFD8"/>
      </right>
      <top style="thin">
        <color rgb="FFC9CFD8"/>
      </top>
      <bottom style="medium">
        <color rgb="FF143963"/>
      </bottom>
      <diagonal/>
    </border>
    <border>
      <left style="thin">
        <color rgb="FFC9CFD8"/>
      </left>
      <right/>
      <top style="thin">
        <color rgb="FFC9CFD8"/>
      </top>
      <bottom style="thin">
        <color rgb="FFC9CFD8"/>
      </bottom>
      <diagonal/>
    </border>
    <border>
      <left style="thin">
        <color rgb="FFC9CFD8"/>
      </left>
      <right/>
      <top style="medium">
        <color rgb="FF143963"/>
      </top>
      <bottom style="thin">
        <color rgb="FFC9CFD8"/>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0" borderId="0" xfId="0" applyFont="1"/>
    <xf numFmtId="0" fontId="7" fillId="6" borderId="1" xfId="0" applyFont="1" applyFill="1" applyBorder="1" applyAlignment="1">
      <alignment horizontal="left" vertical="center"/>
    </xf>
    <xf numFmtId="0" fontId="12" fillId="9" borderId="1" xfId="0"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0" xfId="0" applyFont="1" applyFill="1" applyBorder="1" applyAlignment="1">
      <alignment horizontal="left" vertical="center" wrapText="1" indent="1"/>
    </xf>
    <xf numFmtId="0" fontId="2" fillId="3" borderId="5" xfId="0" applyFont="1" applyFill="1" applyBorder="1" applyAlignment="1">
      <alignment horizontal="left" vertical="center" wrapText="1" indent="1"/>
    </xf>
    <xf numFmtId="0" fontId="2" fillId="3" borderId="6" xfId="0" applyFont="1" applyFill="1" applyBorder="1" applyAlignment="1">
      <alignment horizontal="left" vertical="center" wrapText="1" indent="1"/>
    </xf>
    <xf numFmtId="0" fontId="2" fillId="3" borderId="11" xfId="0" applyFont="1" applyFill="1" applyBorder="1" applyAlignment="1">
      <alignment horizontal="left" vertical="center" wrapText="1" indent="1"/>
    </xf>
    <xf numFmtId="0" fontId="2" fillId="3" borderId="3"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7" fillId="6" borderId="10" xfId="0" applyFont="1" applyFill="1" applyBorder="1" applyAlignment="1">
      <alignment horizontal="left" vertical="center"/>
    </xf>
    <xf numFmtId="0" fontId="7" fillId="6" borderId="5" xfId="0" applyFont="1" applyFill="1" applyBorder="1" applyAlignment="1">
      <alignment horizontal="left" vertical="center"/>
    </xf>
    <xf numFmtId="0" fontId="7" fillId="6" borderId="6" xfId="0" applyFont="1" applyFill="1" applyBorder="1" applyAlignment="1">
      <alignment horizontal="left" vertical="center"/>
    </xf>
    <xf numFmtId="0" fontId="2" fillId="3" borderId="7" xfId="0" applyFont="1" applyFill="1" applyBorder="1" applyAlignment="1">
      <alignment horizontal="left" vertical="center" wrapText="1" indent="1"/>
    </xf>
    <xf numFmtId="0" fontId="2" fillId="3" borderId="8" xfId="0" applyFont="1" applyFill="1" applyBorder="1" applyAlignment="1">
      <alignment horizontal="left" vertical="center" wrapText="1" indent="1"/>
    </xf>
    <xf numFmtId="0" fontId="2" fillId="3" borderId="9" xfId="0" applyFont="1" applyFill="1" applyBorder="1" applyAlignment="1">
      <alignment horizontal="left" vertical="center" wrapText="1" indent="1"/>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1" fillId="0" borderId="0" xfId="0" applyFont="1"/>
    <xf numFmtId="0" fontId="2" fillId="0" borderId="0" xfId="0" applyFont="1"/>
    <xf numFmtId="0" fontId="7" fillId="6" borderId="1" xfId="0" applyFont="1" applyFill="1" applyBorder="1" applyAlignment="1">
      <alignment horizontal="left" vertical="center"/>
    </xf>
    <xf numFmtId="14" fontId="4" fillId="2"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1" t="s">
        <v>0</v>
      </c>
    </row>
    <row r="3" spans="2:3" x14ac:dyDescent="0.3">
      <c r="B3" s="2" t="s">
        <v>1</v>
      </c>
    </row>
    <row r="5" spans="2:3" ht="39.6" x14ac:dyDescent="0.3">
      <c r="B5" s="3" t="s">
        <v>2</v>
      </c>
      <c r="C5" s="4" t="s">
        <v>3</v>
      </c>
    </row>
    <row r="7" spans="2:3" x14ac:dyDescent="0.3">
      <c r="B7" s="3" t="s">
        <v>4</v>
      </c>
      <c r="C7" s="5" t="s">
        <v>5</v>
      </c>
    </row>
    <row r="8" spans="2:3" x14ac:dyDescent="0.3">
      <c r="B8" s="4" t="s">
        <v>6</v>
      </c>
      <c r="C8" s="4" t="s">
        <v>7</v>
      </c>
    </row>
    <row r="9" spans="2:3" ht="26.4" x14ac:dyDescent="0.3">
      <c r="B9" s="4" t="s">
        <v>8</v>
      </c>
      <c r="C9" s="4" t="s">
        <v>9</v>
      </c>
    </row>
    <row r="10" spans="2:3" ht="26.4" x14ac:dyDescent="0.3">
      <c r="B10" s="4" t="s">
        <v>10</v>
      </c>
      <c r="C10" s="4" t="s">
        <v>11</v>
      </c>
    </row>
    <row r="11" spans="2:3" ht="26.4" x14ac:dyDescent="0.3">
      <c r="B11" s="4" t="s">
        <v>12</v>
      </c>
      <c r="C11" s="4" t="s">
        <v>13</v>
      </c>
    </row>
    <row r="12" spans="2:3" ht="26.4" x14ac:dyDescent="0.3">
      <c r="B12" s="4" t="s">
        <v>14</v>
      </c>
      <c r="C12" s="4" t="s">
        <v>15</v>
      </c>
    </row>
    <row r="14" spans="2:3" ht="144.75" customHeight="1" x14ac:dyDescent="0.3">
      <c r="B14" s="3" t="s">
        <v>16</v>
      </c>
      <c r="C14" s="4" t="s">
        <v>17</v>
      </c>
    </row>
    <row r="16" spans="2:3" ht="64.5" customHeight="1" x14ac:dyDescent="0.3">
      <c r="B16" s="3" t="s">
        <v>18</v>
      </c>
      <c r="C16" s="4" t="s">
        <v>19</v>
      </c>
    </row>
    <row r="18" spans="2:3" ht="49.5" customHeight="1" x14ac:dyDescent="0.3">
      <c r="B18" s="3" t="s">
        <v>20</v>
      </c>
      <c r="C18" s="4" t="s">
        <v>21</v>
      </c>
    </row>
    <row r="20" spans="2:3" ht="64.5" customHeight="1" x14ac:dyDescent="0.3">
      <c r="B20" s="3" t="s">
        <v>22</v>
      </c>
      <c r="C20" s="4" t="s">
        <v>23</v>
      </c>
    </row>
    <row r="22" spans="2:3" ht="90" customHeight="1" x14ac:dyDescent="0.3">
      <c r="B22" s="3" t="s">
        <v>24</v>
      </c>
      <c r="C22" s="4" t="s">
        <v>25</v>
      </c>
    </row>
    <row r="24" spans="2:3" x14ac:dyDescent="0.3">
      <c r="B24" s="3" t="s">
        <v>26</v>
      </c>
    </row>
    <row r="25" spans="2:3" x14ac:dyDescent="0.3">
      <c r="B25" s="6" t="s">
        <v>27</v>
      </c>
      <c r="C25" s="5" t="s">
        <v>28</v>
      </c>
    </row>
    <row r="26" spans="2:3" ht="26.4" x14ac:dyDescent="0.3">
      <c r="B26" s="7" t="s">
        <v>29</v>
      </c>
      <c r="C26" s="4" t="s">
        <v>30</v>
      </c>
    </row>
    <row r="27" spans="2:3" x14ac:dyDescent="0.3">
      <c r="B27" s="8" t="s">
        <v>31</v>
      </c>
      <c r="C27" s="5" t="s">
        <v>32</v>
      </c>
    </row>
    <row r="28" spans="2:3" ht="26.4" x14ac:dyDescent="0.3">
      <c r="B28" s="9" t="s">
        <v>33</v>
      </c>
      <c r="C28" s="4" t="s">
        <v>34</v>
      </c>
    </row>
    <row r="31" spans="2:3" ht="26.4" x14ac:dyDescent="0.3">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21" sqref="C21"/>
    </sheetView>
  </sheetViews>
  <sheetFormatPr defaultColWidth="8.6640625" defaultRowHeight="14.4" x14ac:dyDescent="0.3"/>
  <cols>
    <col min="1" max="1" width="3" customWidth="1"/>
    <col min="2" max="2" width="30" customWidth="1"/>
    <col min="3" max="3" width="70" customWidth="1"/>
  </cols>
  <sheetData>
    <row r="2" spans="2:3" ht="21" x14ac:dyDescent="0.4">
      <c r="B2" s="1" t="s">
        <v>6</v>
      </c>
    </row>
    <row r="3" spans="2:3" x14ac:dyDescent="0.3">
      <c r="B3" s="2" t="s">
        <v>37</v>
      </c>
    </row>
    <row r="5" spans="2:3" ht="19.5" customHeight="1" x14ac:dyDescent="0.3">
      <c r="B5" s="10" t="s">
        <v>38</v>
      </c>
      <c r="C5" s="11" t="s">
        <v>430</v>
      </c>
    </row>
    <row r="6" spans="2:3" ht="19.5" customHeight="1" x14ac:dyDescent="0.3">
      <c r="B6" s="10" t="s">
        <v>39</v>
      </c>
      <c r="C6" s="11" t="s">
        <v>429</v>
      </c>
    </row>
    <row r="7" spans="2:3" ht="19.5" customHeight="1" x14ac:dyDescent="0.3">
      <c r="B7" s="10" t="s">
        <v>40</v>
      </c>
      <c r="C7" s="50">
        <v>46255</v>
      </c>
    </row>
    <row r="8" spans="2:3" ht="19.5" customHeight="1" x14ac:dyDescent="0.3">
      <c r="B8" s="10" t="s">
        <v>41</v>
      </c>
      <c r="C8" s="11" t="s">
        <v>431</v>
      </c>
    </row>
    <row r="9" spans="2:3" ht="19.5" customHeight="1" x14ac:dyDescent="0.3">
      <c r="B9" s="10" t="s">
        <v>42</v>
      </c>
      <c r="C9" s="11" t="s">
        <v>432</v>
      </c>
    </row>
    <row r="10" spans="2:3" ht="31.5" customHeight="1" x14ac:dyDescent="0.3">
      <c r="B10" s="10" t="s">
        <v>43</v>
      </c>
      <c r="C10" s="11" t="s">
        <v>44</v>
      </c>
    </row>
    <row r="11" spans="2:3" ht="19.5" customHeight="1" x14ac:dyDescent="0.3">
      <c r="B11" s="10" t="s">
        <v>45</v>
      </c>
      <c r="C11" s="11" t="s">
        <v>46</v>
      </c>
    </row>
    <row r="12" spans="2:3" ht="31.5" customHeight="1" x14ac:dyDescent="0.3">
      <c r="B12" s="10" t="s">
        <v>47</v>
      </c>
      <c r="C12" s="11" t="s">
        <v>48</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44"/>
  <sheetViews>
    <sheetView showGridLines="0" zoomScaleNormal="100" workbookViewId="0">
      <pane xSplit="1" ySplit="3" topLeftCell="B126" activePane="bottomRight" state="frozen"/>
      <selection pane="topRight" activeCell="B1" sqref="B1"/>
      <selection pane="bottomLeft" activeCell="A4" sqref="A4"/>
      <selection pane="bottomRight" activeCell="B14" sqref="B14"/>
    </sheetView>
  </sheetViews>
  <sheetFormatPr defaultColWidth="8.6640625" defaultRowHeight="14.4" x14ac:dyDescent="0.3"/>
  <cols>
    <col min="1" max="1" width="26" customWidth="1"/>
    <col min="2" max="2" width="31.6640625" customWidth="1"/>
    <col min="3" max="3" width="26.33203125" customWidth="1"/>
    <col min="4" max="4" width="32.5546875" customWidth="1"/>
    <col min="5" max="14" width="14" customWidth="1"/>
    <col min="15" max="15" width="16.33203125" customWidth="1"/>
    <col min="16" max="21" width="14" customWidth="1"/>
    <col min="22" max="22" width="15.5546875" customWidth="1"/>
    <col min="23" max="23" width="12.5546875" customWidth="1"/>
    <col min="24" max="24" width="14.109375" customWidth="1"/>
    <col min="25" max="25" width="11.44140625" customWidth="1"/>
    <col min="26" max="26" width="11.33203125" customWidth="1"/>
    <col min="27" max="27" width="12.88671875" customWidth="1"/>
    <col min="28" max="28" width="13.44140625" customWidth="1"/>
    <col min="30" max="30" width="12.5546875" customWidth="1"/>
    <col min="31" max="32" width="11.88671875" customWidth="1"/>
    <col min="33" max="33" width="13.88671875" customWidth="1"/>
  </cols>
  <sheetData>
    <row r="1" spans="1:33" ht="21" x14ac:dyDescent="0.4">
      <c r="A1" s="47" t="s">
        <v>8</v>
      </c>
      <c r="B1" s="47"/>
      <c r="C1" s="47"/>
      <c r="D1" s="47"/>
      <c r="E1" s="47"/>
      <c r="F1" s="47"/>
      <c r="G1" s="47"/>
      <c r="H1" s="47"/>
      <c r="I1" s="47"/>
      <c r="J1" s="47"/>
      <c r="K1" s="47"/>
      <c r="L1" s="47"/>
      <c r="M1" s="47"/>
      <c r="N1" s="47"/>
      <c r="O1" s="47"/>
      <c r="P1" s="47"/>
      <c r="Q1" s="47"/>
      <c r="R1" s="47"/>
      <c r="S1" s="47"/>
      <c r="T1" s="47"/>
      <c r="U1" s="47"/>
    </row>
    <row r="2" spans="1:33" x14ac:dyDescent="0.3">
      <c r="A2" s="48" t="s">
        <v>49</v>
      </c>
      <c r="B2" s="48"/>
      <c r="C2" s="48"/>
      <c r="D2" s="48"/>
      <c r="E2" s="48"/>
      <c r="F2" s="48"/>
      <c r="G2" s="48"/>
      <c r="H2" s="48"/>
      <c r="I2" s="48"/>
      <c r="J2" s="48"/>
      <c r="K2" s="48"/>
      <c r="L2" s="48"/>
      <c r="M2" s="48"/>
      <c r="N2" s="48"/>
      <c r="O2" s="48"/>
      <c r="P2" s="48"/>
      <c r="Q2" s="48"/>
      <c r="R2" s="48"/>
      <c r="S2" s="48"/>
      <c r="T2" s="48"/>
      <c r="U2" s="48"/>
    </row>
    <row r="4" spans="1:33" ht="15" customHeight="1" x14ac:dyDescent="0.3">
      <c r="A4" s="12" t="s">
        <v>50</v>
      </c>
      <c r="B4" s="46" t="s">
        <v>51</v>
      </c>
      <c r="C4" s="46"/>
      <c r="D4" s="46"/>
      <c r="E4" s="46"/>
      <c r="F4" s="46"/>
      <c r="G4" s="46"/>
      <c r="H4" s="46"/>
      <c r="I4" s="46"/>
      <c r="J4" s="46"/>
      <c r="K4" s="46"/>
      <c r="L4" s="46"/>
      <c r="M4" s="46"/>
      <c r="N4" s="46"/>
      <c r="O4" s="46"/>
      <c r="P4" s="46"/>
      <c r="Q4" s="46"/>
      <c r="R4" s="46"/>
      <c r="S4" s="46"/>
      <c r="T4" s="46"/>
      <c r="U4" s="46"/>
    </row>
    <row r="5" spans="1:33" ht="15" customHeight="1" x14ac:dyDescent="0.3">
      <c r="A5" s="12" t="s">
        <v>52</v>
      </c>
      <c r="B5" s="45" t="s">
        <v>53</v>
      </c>
      <c r="C5" s="45"/>
      <c r="D5" s="45"/>
      <c r="E5" s="45"/>
      <c r="F5" s="45"/>
      <c r="G5" s="45"/>
      <c r="H5" s="45"/>
      <c r="I5" s="45"/>
      <c r="J5" s="45"/>
      <c r="K5" s="45"/>
      <c r="L5" s="45"/>
      <c r="M5" s="45"/>
      <c r="N5" s="45"/>
      <c r="O5" s="45"/>
      <c r="P5" s="45"/>
      <c r="Q5" s="45"/>
      <c r="R5" s="45"/>
      <c r="S5" s="45"/>
      <c r="T5" s="45"/>
      <c r="U5" s="45"/>
    </row>
    <row r="6" spans="1:33" ht="13.5" customHeight="1" x14ac:dyDescent="0.3">
      <c r="A6" s="12" t="s">
        <v>54</v>
      </c>
      <c r="B6" s="30" t="s">
        <v>55</v>
      </c>
      <c r="C6" s="30" t="s">
        <v>56</v>
      </c>
      <c r="D6" s="49" t="s">
        <v>57</v>
      </c>
      <c r="E6" s="49"/>
      <c r="F6" s="49"/>
      <c r="G6" s="49"/>
      <c r="H6" s="49"/>
      <c r="I6" s="49"/>
      <c r="J6" s="49"/>
      <c r="K6" s="49"/>
      <c r="L6" s="49"/>
      <c r="M6" s="49"/>
      <c r="N6" s="49"/>
      <c r="O6" s="49"/>
      <c r="P6" s="49"/>
      <c r="Q6" s="49"/>
      <c r="R6" s="49"/>
      <c r="S6" s="49"/>
      <c r="T6" s="49"/>
      <c r="U6" s="49"/>
    </row>
    <row r="7" spans="1:33" ht="15" customHeight="1" x14ac:dyDescent="0.3">
      <c r="A7" s="12"/>
      <c r="B7" s="13" t="s">
        <v>58</v>
      </c>
      <c r="C7" s="13" t="s">
        <v>59</v>
      </c>
      <c r="D7" s="45" t="s">
        <v>60</v>
      </c>
      <c r="E7" s="45"/>
      <c r="F7" s="45"/>
      <c r="G7" s="45"/>
      <c r="H7" s="45"/>
      <c r="I7" s="45"/>
      <c r="J7" s="45"/>
      <c r="K7" s="45"/>
      <c r="L7" s="45"/>
      <c r="M7" s="45"/>
      <c r="N7" s="45"/>
      <c r="O7" s="45"/>
      <c r="P7" s="45"/>
      <c r="Q7" s="45"/>
      <c r="R7" s="45"/>
      <c r="S7" s="45"/>
      <c r="T7" s="45"/>
      <c r="U7" s="45"/>
    </row>
    <row r="8" spans="1:33" ht="15" customHeight="1" x14ac:dyDescent="0.3">
      <c r="A8" s="14" t="s">
        <v>61</v>
      </c>
      <c r="B8" s="46" t="s">
        <v>51</v>
      </c>
      <c r="C8" s="46"/>
      <c r="D8" s="46"/>
      <c r="E8" s="46"/>
      <c r="F8" s="46"/>
      <c r="G8" s="46"/>
      <c r="H8" s="46"/>
      <c r="I8" s="46"/>
      <c r="J8" s="46"/>
      <c r="K8" s="46"/>
      <c r="L8" s="46"/>
      <c r="M8" s="46"/>
      <c r="N8" s="46"/>
      <c r="O8" s="46"/>
      <c r="P8" s="46"/>
      <c r="Q8" s="46"/>
      <c r="R8" s="46"/>
      <c r="S8" s="46"/>
      <c r="T8" s="46"/>
      <c r="U8" s="46"/>
    </row>
    <row r="9" spans="1:33" ht="15" customHeight="1" x14ac:dyDescent="0.3">
      <c r="A9" s="14" t="s">
        <v>62</v>
      </c>
      <c r="B9" s="45" t="s">
        <v>63</v>
      </c>
      <c r="C9" s="45"/>
      <c r="D9" s="45"/>
      <c r="E9" s="45"/>
      <c r="F9" s="45"/>
      <c r="G9" s="45"/>
      <c r="H9" s="45"/>
      <c r="I9" s="45"/>
      <c r="J9" s="45"/>
      <c r="K9" s="45"/>
      <c r="L9" s="45"/>
      <c r="M9" s="45"/>
      <c r="N9" s="45"/>
      <c r="O9" s="45"/>
      <c r="P9" s="45"/>
      <c r="Q9" s="45"/>
      <c r="R9" s="45"/>
      <c r="S9" s="45"/>
      <c r="T9" s="45"/>
      <c r="U9" s="45"/>
    </row>
    <row r="10" spans="1:33" ht="13.5" customHeight="1" x14ac:dyDescent="0.3">
      <c r="A10" s="14" t="s">
        <v>64</v>
      </c>
      <c r="B10" s="30" t="s">
        <v>65</v>
      </c>
      <c r="C10" s="30" t="s">
        <v>66</v>
      </c>
      <c r="D10" s="15"/>
      <c r="E10" s="15"/>
      <c r="F10" s="15"/>
      <c r="G10" s="15"/>
      <c r="H10" s="15"/>
      <c r="I10" s="15"/>
      <c r="J10" s="15"/>
      <c r="K10" s="15"/>
      <c r="L10" s="15"/>
      <c r="M10" s="15"/>
      <c r="N10" s="15"/>
      <c r="O10" s="15"/>
      <c r="P10" s="15"/>
      <c r="Q10" s="15"/>
      <c r="R10" s="15"/>
      <c r="S10" s="15"/>
      <c r="T10" s="15"/>
      <c r="U10" s="15"/>
    </row>
    <row r="11" spans="1:33" x14ac:dyDescent="0.3">
      <c r="A11" s="14"/>
      <c r="B11" s="16">
        <v>288226</v>
      </c>
      <c r="C11" s="16">
        <v>32</v>
      </c>
      <c r="D11" s="17"/>
      <c r="E11" s="17"/>
      <c r="F11" s="17"/>
      <c r="G11" s="17"/>
      <c r="H11" s="17"/>
      <c r="I11" s="17"/>
      <c r="J11" s="17"/>
      <c r="K11" s="17"/>
      <c r="L11" s="17"/>
      <c r="M11" s="17"/>
      <c r="N11" s="17"/>
      <c r="O11" s="17"/>
      <c r="P11" s="17"/>
      <c r="Q11" s="17"/>
      <c r="R11" s="17"/>
      <c r="S11" s="17"/>
      <c r="T11" s="17"/>
      <c r="U11" s="17"/>
    </row>
    <row r="12" spans="1:33" ht="6" customHeight="1" x14ac:dyDescent="0.3"/>
    <row r="13" spans="1:33" ht="26.4" x14ac:dyDescent="0.3">
      <c r="A13" s="18" t="s">
        <v>67</v>
      </c>
      <c r="B13" s="19" t="s">
        <v>68</v>
      </c>
      <c r="C13" s="19" t="s">
        <v>69</v>
      </c>
      <c r="D13" s="19" t="s">
        <v>70</v>
      </c>
      <c r="E13" s="19" t="s">
        <v>71</v>
      </c>
      <c r="F13" s="19" t="s">
        <v>72</v>
      </c>
      <c r="G13" s="19" t="s">
        <v>73</v>
      </c>
      <c r="H13" s="19" t="s">
        <v>74</v>
      </c>
      <c r="I13" s="19" t="s">
        <v>75</v>
      </c>
      <c r="J13" s="19" t="s">
        <v>76</v>
      </c>
      <c r="K13" s="19" t="s">
        <v>77</v>
      </c>
      <c r="L13" s="19" t="s">
        <v>78</v>
      </c>
      <c r="M13" s="19" t="s">
        <v>79</v>
      </c>
      <c r="N13" s="20" t="s">
        <v>80</v>
      </c>
      <c r="O13" s="20" t="s">
        <v>81</v>
      </c>
      <c r="P13" s="20" t="s">
        <v>82</v>
      </c>
      <c r="Q13" s="20" t="s">
        <v>83</v>
      </c>
      <c r="R13" s="20" t="s">
        <v>84</v>
      </c>
      <c r="S13" s="20" t="s">
        <v>85</v>
      </c>
      <c r="T13" s="20" t="s">
        <v>86</v>
      </c>
      <c r="U13" s="20" t="s">
        <v>87</v>
      </c>
      <c r="V13" s="20" t="s">
        <v>88</v>
      </c>
      <c r="W13" s="20" t="s">
        <v>89</v>
      </c>
      <c r="X13" s="20" t="s">
        <v>90</v>
      </c>
      <c r="Y13" s="20" t="s">
        <v>91</v>
      </c>
      <c r="Z13" s="20" t="s">
        <v>92</v>
      </c>
      <c r="AA13" s="20" t="s">
        <v>93</v>
      </c>
      <c r="AB13" s="20" t="s">
        <v>94</v>
      </c>
      <c r="AC13" s="20" t="s">
        <v>95</v>
      </c>
      <c r="AD13" s="20" t="s">
        <v>96</v>
      </c>
      <c r="AE13" s="20" t="s">
        <v>97</v>
      </c>
      <c r="AF13" s="20" t="s">
        <v>98</v>
      </c>
      <c r="AG13" s="20" t="s">
        <v>99</v>
      </c>
    </row>
    <row r="14" spans="1:33" ht="105.6" x14ac:dyDescent="0.3">
      <c r="A14" s="18" t="s">
        <v>100</v>
      </c>
      <c r="B14" s="20" t="s">
        <v>101</v>
      </c>
      <c r="C14" s="20" t="s">
        <v>102</v>
      </c>
      <c r="D14" s="20" t="s">
        <v>103</v>
      </c>
      <c r="E14" s="20" t="s">
        <v>104</v>
      </c>
      <c r="F14" s="20" t="s">
        <v>105</v>
      </c>
      <c r="G14" s="20" t="s">
        <v>106</v>
      </c>
      <c r="H14" s="20" t="s">
        <v>107</v>
      </c>
      <c r="I14" s="20" t="s">
        <v>108</v>
      </c>
      <c r="J14" s="20" t="s">
        <v>109</v>
      </c>
      <c r="K14" s="20" t="s">
        <v>110</v>
      </c>
      <c r="L14" s="20" t="s">
        <v>111</v>
      </c>
      <c r="M14" s="20" t="s">
        <v>112</v>
      </c>
      <c r="N14" s="20" t="s">
        <v>113</v>
      </c>
      <c r="O14" s="20" t="s">
        <v>114</v>
      </c>
      <c r="P14" s="20" t="s">
        <v>115</v>
      </c>
      <c r="Q14" s="20" t="s">
        <v>116</v>
      </c>
      <c r="R14" s="20" t="s">
        <v>117</v>
      </c>
      <c r="S14" s="20" t="s">
        <v>118</v>
      </c>
      <c r="T14" s="20" t="s">
        <v>119</v>
      </c>
      <c r="U14" s="20" t="s">
        <v>120</v>
      </c>
      <c r="V14" s="20" t="s">
        <v>121</v>
      </c>
      <c r="W14" s="20" t="s">
        <v>122</v>
      </c>
      <c r="X14" s="20" t="s">
        <v>123</v>
      </c>
      <c r="Y14" s="20" t="s">
        <v>124</v>
      </c>
      <c r="Z14" s="20" t="s">
        <v>125</v>
      </c>
      <c r="AA14" s="20" t="s">
        <v>126</v>
      </c>
      <c r="AB14" s="20" t="s">
        <v>127</v>
      </c>
      <c r="AC14" s="20" t="s">
        <v>128</v>
      </c>
      <c r="AD14" s="20" t="s">
        <v>129</v>
      </c>
      <c r="AE14" s="20" t="s">
        <v>130</v>
      </c>
      <c r="AF14" s="20" t="s">
        <v>131</v>
      </c>
      <c r="AG14" s="20" t="s">
        <v>132</v>
      </c>
    </row>
    <row r="15" spans="1:33" ht="43.5" customHeight="1" x14ac:dyDescent="0.3">
      <c r="A15" s="18" t="s">
        <v>133</v>
      </c>
      <c r="B15" s="20" t="s">
        <v>134</v>
      </c>
      <c r="C15" s="20" t="s">
        <v>135</v>
      </c>
      <c r="D15" s="20" t="s">
        <v>136</v>
      </c>
      <c r="E15" s="20" t="s">
        <v>136</v>
      </c>
      <c r="F15" s="20" t="s">
        <v>136</v>
      </c>
      <c r="G15" s="20" t="s">
        <v>135</v>
      </c>
      <c r="H15" s="20" t="s">
        <v>135</v>
      </c>
      <c r="I15" s="20" t="s">
        <v>135</v>
      </c>
      <c r="J15" s="20" t="s">
        <v>135</v>
      </c>
      <c r="K15" s="20" t="s">
        <v>135</v>
      </c>
      <c r="L15" s="20" t="s">
        <v>136</v>
      </c>
      <c r="M15" s="20" t="s">
        <v>136</v>
      </c>
      <c r="N15" s="20" t="s">
        <v>136</v>
      </c>
      <c r="O15" s="20" t="s">
        <v>136</v>
      </c>
      <c r="P15" s="20" t="s">
        <v>135</v>
      </c>
      <c r="Q15" s="20" t="s">
        <v>135</v>
      </c>
      <c r="R15" s="20" t="s">
        <v>135</v>
      </c>
      <c r="S15" s="20" t="s">
        <v>135</v>
      </c>
      <c r="T15" s="20" t="s">
        <v>135</v>
      </c>
      <c r="U15" s="20" t="s">
        <v>135</v>
      </c>
      <c r="V15" s="20" t="s">
        <v>135</v>
      </c>
      <c r="W15" s="20" t="s">
        <v>135</v>
      </c>
      <c r="X15" s="20" t="s">
        <v>135</v>
      </c>
      <c r="Y15" s="20" t="s">
        <v>135</v>
      </c>
      <c r="Z15" s="20" t="s">
        <v>135</v>
      </c>
      <c r="AA15" s="20" t="s">
        <v>136</v>
      </c>
      <c r="AB15" s="20" t="s">
        <v>135</v>
      </c>
      <c r="AC15" s="20" t="s">
        <v>135</v>
      </c>
      <c r="AD15" s="20" t="s">
        <v>135</v>
      </c>
      <c r="AE15" s="20" t="s">
        <v>135</v>
      </c>
      <c r="AF15" s="20" t="s">
        <v>136</v>
      </c>
      <c r="AG15" s="20" t="s">
        <v>136</v>
      </c>
    </row>
    <row r="16" spans="1:33" ht="57" customHeight="1" x14ac:dyDescent="0.3">
      <c r="A16" s="18" t="s">
        <v>137</v>
      </c>
      <c r="B16" s="20" t="s">
        <v>138</v>
      </c>
      <c r="C16" s="20" t="s">
        <v>139</v>
      </c>
      <c r="D16" s="20" t="s">
        <v>140</v>
      </c>
      <c r="E16" s="20" t="s">
        <v>140</v>
      </c>
      <c r="F16" s="20" t="s">
        <v>140</v>
      </c>
      <c r="G16" s="20" t="s">
        <v>141</v>
      </c>
      <c r="H16" s="20" t="s">
        <v>141</v>
      </c>
      <c r="I16" s="20" t="s">
        <v>141</v>
      </c>
      <c r="J16" s="20" t="s">
        <v>141</v>
      </c>
      <c r="K16" s="20" t="s">
        <v>141</v>
      </c>
      <c r="L16" s="20" t="s">
        <v>141</v>
      </c>
      <c r="M16" s="20" t="s">
        <v>141</v>
      </c>
      <c r="N16" s="20" t="s">
        <v>140</v>
      </c>
      <c r="O16" s="20" t="s">
        <v>141</v>
      </c>
      <c r="P16" s="20" t="s">
        <v>141</v>
      </c>
      <c r="Q16" s="20" t="s">
        <v>141</v>
      </c>
      <c r="R16" s="20" t="s">
        <v>141</v>
      </c>
      <c r="S16" s="20" t="s">
        <v>141</v>
      </c>
      <c r="T16" s="20" t="s">
        <v>141</v>
      </c>
      <c r="U16" s="20" t="s">
        <v>141</v>
      </c>
      <c r="V16" s="20" t="s">
        <v>141</v>
      </c>
      <c r="W16" s="20" t="s">
        <v>141</v>
      </c>
      <c r="X16" s="20" t="s">
        <v>141</v>
      </c>
      <c r="Y16" s="20" t="s">
        <v>141</v>
      </c>
      <c r="Z16" s="20" t="s">
        <v>141</v>
      </c>
      <c r="AA16" s="20" t="s">
        <v>141</v>
      </c>
      <c r="AB16" s="20" t="s">
        <v>141</v>
      </c>
      <c r="AC16" s="20" t="s">
        <v>141</v>
      </c>
      <c r="AD16" s="20" t="s">
        <v>142</v>
      </c>
      <c r="AE16" s="20" t="s">
        <v>142</v>
      </c>
      <c r="AF16" s="20" t="s">
        <v>143</v>
      </c>
      <c r="AG16" s="20" t="s">
        <v>143</v>
      </c>
    </row>
    <row r="17" spans="1:33" ht="38.25" customHeight="1" x14ac:dyDescent="0.3">
      <c r="A17" s="21" t="s">
        <v>144</v>
      </c>
      <c r="B17" s="20" t="s">
        <v>145</v>
      </c>
      <c r="C17" s="20" t="s">
        <v>146</v>
      </c>
      <c r="D17" s="20" t="s">
        <v>147</v>
      </c>
      <c r="E17" s="20" t="s">
        <v>148</v>
      </c>
      <c r="F17" s="20" t="s">
        <v>149</v>
      </c>
      <c r="G17" s="20" t="s">
        <v>150</v>
      </c>
      <c r="H17" s="20" t="s">
        <v>150</v>
      </c>
      <c r="I17" s="20" t="s">
        <v>151</v>
      </c>
      <c r="J17" s="20" t="s">
        <v>152</v>
      </c>
      <c r="K17" s="20" t="s">
        <v>153</v>
      </c>
      <c r="L17" s="20" t="s">
        <v>154</v>
      </c>
      <c r="M17" s="20" t="s">
        <v>155</v>
      </c>
      <c r="N17" s="20" t="s">
        <v>156</v>
      </c>
      <c r="O17" s="20" t="s">
        <v>157</v>
      </c>
      <c r="P17" s="20" t="s">
        <v>158</v>
      </c>
      <c r="Q17" s="20" t="s">
        <v>158</v>
      </c>
      <c r="R17" s="20" t="s">
        <v>158</v>
      </c>
      <c r="S17" s="20" t="s">
        <v>159</v>
      </c>
      <c r="T17" s="20" t="s">
        <v>158</v>
      </c>
      <c r="U17" s="20" t="s">
        <v>158</v>
      </c>
      <c r="V17" s="20" t="s">
        <v>160</v>
      </c>
      <c r="W17" s="20" t="s">
        <v>150</v>
      </c>
      <c r="X17" s="20" t="s">
        <v>153</v>
      </c>
      <c r="Y17" s="20" t="s">
        <v>161</v>
      </c>
      <c r="Z17" s="20" t="s">
        <v>162</v>
      </c>
      <c r="AA17" s="20" t="s">
        <v>163</v>
      </c>
      <c r="AB17" s="20" t="s">
        <v>158</v>
      </c>
      <c r="AC17" s="20" t="s">
        <v>164</v>
      </c>
      <c r="AD17" s="20" t="s">
        <v>165</v>
      </c>
      <c r="AE17" s="20" t="s">
        <v>166</v>
      </c>
      <c r="AF17" s="20" t="s">
        <v>167</v>
      </c>
      <c r="AG17" s="20" t="s">
        <v>168</v>
      </c>
    </row>
    <row r="18" spans="1:33" ht="37.5" customHeight="1" x14ac:dyDescent="0.3">
      <c r="A18" s="21" t="s">
        <v>169</v>
      </c>
      <c r="B18" s="20">
        <v>19</v>
      </c>
      <c r="C18" s="20">
        <v>1212</v>
      </c>
      <c r="D18" s="20">
        <v>727</v>
      </c>
      <c r="E18" s="20">
        <v>568</v>
      </c>
      <c r="F18" s="20">
        <v>715</v>
      </c>
      <c r="G18" s="20">
        <v>20</v>
      </c>
      <c r="H18" s="20">
        <v>11</v>
      </c>
      <c r="I18" s="20">
        <v>7</v>
      </c>
      <c r="J18" s="20">
        <v>7</v>
      </c>
      <c r="K18" s="20">
        <v>8</v>
      </c>
      <c r="L18" s="20">
        <v>2</v>
      </c>
      <c r="M18" s="20">
        <v>21</v>
      </c>
      <c r="N18" s="20">
        <v>676</v>
      </c>
      <c r="O18" s="20">
        <v>1129</v>
      </c>
      <c r="P18" s="20">
        <v>2</v>
      </c>
      <c r="Q18" s="20">
        <v>2</v>
      </c>
      <c r="R18" s="20">
        <v>2</v>
      </c>
      <c r="S18" s="20">
        <v>2</v>
      </c>
      <c r="T18" s="20">
        <v>2</v>
      </c>
      <c r="U18" s="20">
        <v>2</v>
      </c>
      <c r="V18" s="20">
        <v>6</v>
      </c>
      <c r="W18" s="20">
        <v>5</v>
      </c>
      <c r="X18" s="20">
        <v>6</v>
      </c>
      <c r="Y18" s="20">
        <v>5</v>
      </c>
      <c r="Z18" s="20">
        <v>2</v>
      </c>
      <c r="AA18" s="20">
        <v>10</v>
      </c>
      <c r="AB18" s="20">
        <v>2</v>
      </c>
      <c r="AC18" s="20">
        <v>6</v>
      </c>
      <c r="AD18" s="20">
        <v>14</v>
      </c>
      <c r="AE18" s="20">
        <v>14</v>
      </c>
      <c r="AF18" s="20">
        <v>14</v>
      </c>
      <c r="AG18" s="20">
        <v>14</v>
      </c>
    </row>
    <row r="19" spans="1:33" ht="135" customHeight="1" x14ac:dyDescent="0.3">
      <c r="A19" s="21" t="s">
        <v>170</v>
      </c>
      <c r="B19" s="20" t="s">
        <v>171</v>
      </c>
      <c r="C19" s="20" t="s">
        <v>172</v>
      </c>
      <c r="D19" s="20" t="s">
        <v>172</v>
      </c>
      <c r="E19" s="20" t="s">
        <v>172</v>
      </c>
      <c r="F19" s="20" t="s">
        <v>172</v>
      </c>
      <c r="G19" s="20" t="s">
        <v>173</v>
      </c>
      <c r="H19" s="20" t="s">
        <v>174</v>
      </c>
      <c r="I19" s="20" t="s">
        <v>175</v>
      </c>
      <c r="J19" s="20" t="s">
        <v>176</v>
      </c>
      <c r="K19" s="20" t="s">
        <v>177</v>
      </c>
      <c r="L19" s="20" t="s">
        <v>178</v>
      </c>
      <c r="M19" s="20" t="s">
        <v>172</v>
      </c>
      <c r="N19" s="20" t="s">
        <v>172</v>
      </c>
      <c r="O19" s="20" t="s">
        <v>172</v>
      </c>
      <c r="P19" s="20" t="s">
        <v>179</v>
      </c>
      <c r="Q19" s="20" t="s">
        <v>179</v>
      </c>
      <c r="R19" s="20" t="s">
        <v>179</v>
      </c>
      <c r="S19" s="20" t="s">
        <v>179</v>
      </c>
      <c r="T19" s="20" t="s">
        <v>179</v>
      </c>
      <c r="U19" s="20" t="s">
        <v>179</v>
      </c>
      <c r="V19" s="20" t="s">
        <v>180</v>
      </c>
      <c r="W19" s="20" t="s">
        <v>181</v>
      </c>
      <c r="X19" s="20" t="s">
        <v>180</v>
      </c>
      <c r="Y19" s="20" t="s">
        <v>182</v>
      </c>
      <c r="Z19" s="20" t="s">
        <v>183</v>
      </c>
      <c r="AA19" s="20" t="s">
        <v>184</v>
      </c>
      <c r="AB19" s="20" t="s">
        <v>179</v>
      </c>
      <c r="AC19" s="20" t="s">
        <v>185</v>
      </c>
      <c r="AD19" s="20" t="s">
        <v>186</v>
      </c>
      <c r="AE19" s="20" t="s">
        <v>186</v>
      </c>
      <c r="AF19" s="20" t="s">
        <v>187</v>
      </c>
      <c r="AG19" s="20" t="s">
        <v>187</v>
      </c>
    </row>
    <row r="20" spans="1:33" ht="64.5" customHeight="1" x14ac:dyDescent="0.3">
      <c r="A20" s="21" t="s">
        <v>188</v>
      </c>
      <c r="B20" s="20" t="s">
        <v>189</v>
      </c>
      <c r="C20" s="20" t="s">
        <v>189</v>
      </c>
      <c r="D20" s="32">
        <v>0</v>
      </c>
      <c r="E20" s="20" t="s">
        <v>189</v>
      </c>
      <c r="F20" s="20" t="s">
        <v>189</v>
      </c>
      <c r="G20" s="20" t="s">
        <v>189</v>
      </c>
      <c r="H20" s="20" t="s">
        <v>189</v>
      </c>
      <c r="I20" s="20" t="s">
        <v>189</v>
      </c>
      <c r="J20" s="20" t="s">
        <v>189</v>
      </c>
      <c r="K20" s="20" t="s">
        <v>189</v>
      </c>
      <c r="L20" s="20" t="s">
        <v>190</v>
      </c>
      <c r="M20" s="20" t="s">
        <v>191</v>
      </c>
      <c r="N20" s="20" t="s">
        <v>192</v>
      </c>
      <c r="O20" s="20" t="s">
        <v>192</v>
      </c>
      <c r="P20" s="20" t="s">
        <v>189</v>
      </c>
      <c r="Q20" s="20" t="s">
        <v>189</v>
      </c>
      <c r="R20" s="20" t="s">
        <v>189</v>
      </c>
      <c r="S20" s="20" t="s">
        <v>189</v>
      </c>
      <c r="T20" s="20" t="s">
        <v>189</v>
      </c>
      <c r="U20" s="20" t="s">
        <v>189</v>
      </c>
      <c r="V20" s="20" t="s">
        <v>189</v>
      </c>
      <c r="W20" s="20" t="s">
        <v>189</v>
      </c>
      <c r="X20" s="20" t="s">
        <v>189</v>
      </c>
      <c r="Y20" s="20" t="s">
        <v>189</v>
      </c>
      <c r="Z20" s="20" t="s">
        <v>189</v>
      </c>
      <c r="AA20" s="20" t="s">
        <v>192</v>
      </c>
      <c r="AB20" s="20" t="s">
        <v>189</v>
      </c>
      <c r="AC20" s="20" t="s">
        <v>189</v>
      </c>
      <c r="AD20" s="20" t="s">
        <v>189</v>
      </c>
      <c r="AE20" s="20" t="s">
        <v>189</v>
      </c>
      <c r="AF20" s="20" t="s">
        <v>189</v>
      </c>
      <c r="AG20" s="20" t="s">
        <v>189</v>
      </c>
    </row>
    <row r="21" spans="1:33" ht="81" customHeight="1" x14ac:dyDescent="0.3">
      <c r="A21" s="21" t="s">
        <v>193</v>
      </c>
      <c r="B21" s="20" t="s">
        <v>194</v>
      </c>
      <c r="C21" s="20" t="s">
        <v>194</v>
      </c>
      <c r="D21" s="20" t="s">
        <v>194</v>
      </c>
      <c r="E21" s="20" t="s">
        <v>194</v>
      </c>
      <c r="F21" s="20" t="s">
        <v>194</v>
      </c>
      <c r="G21" s="20" t="s">
        <v>194</v>
      </c>
      <c r="H21" s="20" t="s">
        <v>195</v>
      </c>
      <c r="I21" s="20" t="s">
        <v>194</v>
      </c>
      <c r="J21" s="20" t="s">
        <v>194</v>
      </c>
      <c r="K21" s="20" t="s">
        <v>194</v>
      </c>
      <c r="L21" s="20" t="s">
        <v>196</v>
      </c>
      <c r="M21" s="20" t="s">
        <v>197</v>
      </c>
      <c r="N21" s="20" t="s">
        <v>198</v>
      </c>
      <c r="O21" s="20" t="s">
        <v>199</v>
      </c>
      <c r="P21" s="20" t="s">
        <v>194</v>
      </c>
      <c r="Q21" s="20" t="s">
        <v>194</v>
      </c>
      <c r="R21" s="20" t="s">
        <v>194</v>
      </c>
      <c r="S21" s="20" t="s">
        <v>194</v>
      </c>
      <c r="T21" s="20" t="s">
        <v>194</v>
      </c>
      <c r="U21" s="20" t="s">
        <v>194</v>
      </c>
      <c r="V21" s="20" t="s">
        <v>194</v>
      </c>
      <c r="W21" s="20" t="s">
        <v>194</v>
      </c>
      <c r="X21" s="20" t="s">
        <v>194</v>
      </c>
      <c r="Y21" s="20" t="s">
        <v>194</v>
      </c>
      <c r="Z21" s="20" t="s">
        <v>200</v>
      </c>
      <c r="AA21" s="20" t="s">
        <v>201</v>
      </c>
      <c r="AB21" s="20" t="s">
        <v>194</v>
      </c>
      <c r="AC21" s="20" t="s">
        <v>202</v>
      </c>
      <c r="AD21" s="20" t="s">
        <v>194</v>
      </c>
      <c r="AE21" s="20" t="s">
        <v>194</v>
      </c>
      <c r="AF21" s="20" t="s">
        <v>203</v>
      </c>
      <c r="AG21" s="20" t="s">
        <v>204</v>
      </c>
    </row>
    <row r="22" spans="1:33" ht="9.75" customHeight="1" x14ac:dyDescent="0.3"/>
    <row r="23" spans="1:33" ht="9.75" customHeight="1" x14ac:dyDescent="0.3"/>
    <row r="26" spans="1:33" ht="14.4" customHeight="1" x14ac:dyDescent="0.3">
      <c r="A26" s="12" t="s">
        <v>50</v>
      </c>
      <c r="B26" s="31" t="s">
        <v>205</v>
      </c>
      <c r="C26" s="31"/>
      <c r="D26" s="31"/>
      <c r="E26" s="31"/>
      <c r="F26" s="31"/>
      <c r="G26" s="31"/>
      <c r="H26" s="31"/>
      <c r="I26" s="31"/>
      <c r="J26" s="31"/>
      <c r="K26" s="31"/>
      <c r="L26" s="31"/>
      <c r="M26" s="31"/>
      <c r="N26" s="31"/>
      <c r="O26" s="31"/>
      <c r="P26" s="31"/>
      <c r="Q26" s="31"/>
      <c r="R26" s="31"/>
      <c r="S26" s="31"/>
      <c r="T26" s="31"/>
      <c r="U26" s="31"/>
    </row>
    <row r="27" spans="1:33" ht="15" customHeight="1" x14ac:dyDescent="0.3">
      <c r="A27" s="12" t="s">
        <v>52</v>
      </c>
      <c r="B27" s="31" t="s">
        <v>206</v>
      </c>
      <c r="C27" s="31"/>
      <c r="D27" s="31"/>
      <c r="E27" s="31"/>
      <c r="F27" s="31"/>
      <c r="G27" s="31"/>
      <c r="H27" s="31"/>
      <c r="I27" s="31"/>
      <c r="J27" s="31"/>
      <c r="K27" s="31"/>
      <c r="L27" s="31"/>
      <c r="M27" s="31"/>
      <c r="N27" s="31"/>
      <c r="O27" s="31"/>
      <c r="P27" s="31"/>
      <c r="Q27" s="31"/>
      <c r="R27" s="31"/>
      <c r="S27" s="31"/>
      <c r="T27" s="31"/>
      <c r="U27" s="31"/>
    </row>
    <row r="28" spans="1:33" ht="14.4" customHeight="1" x14ac:dyDescent="0.3">
      <c r="A28" s="12" t="s">
        <v>54</v>
      </c>
      <c r="B28" s="31" t="s">
        <v>55</v>
      </c>
      <c r="C28" s="31" t="s">
        <v>56</v>
      </c>
      <c r="D28" s="31" t="s">
        <v>57</v>
      </c>
      <c r="E28" s="31"/>
      <c r="F28" s="31"/>
      <c r="G28" s="31"/>
      <c r="H28" s="31"/>
      <c r="I28" s="31"/>
      <c r="J28" s="31"/>
      <c r="K28" s="31"/>
      <c r="L28" s="31"/>
      <c r="M28" s="31"/>
      <c r="N28" s="31"/>
      <c r="O28" s="31"/>
      <c r="P28" s="31"/>
      <c r="Q28" s="31"/>
      <c r="R28" s="31"/>
      <c r="S28" s="31"/>
      <c r="T28" s="31"/>
      <c r="U28" s="31"/>
    </row>
    <row r="29" spans="1:33" ht="15" customHeight="1" x14ac:dyDescent="0.3">
      <c r="A29" s="12"/>
      <c r="B29" s="31" t="s">
        <v>207</v>
      </c>
      <c r="C29" s="31" t="s">
        <v>208</v>
      </c>
      <c r="D29" s="31" t="s">
        <v>209</v>
      </c>
      <c r="E29" s="31"/>
      <c r="F29" s="31"/>
      <c r="G29" s="31"/>
      <c r="H29" s="31"/>
      <c r="I29" s="31"/>
      <c r="J29" s="31"/>
      <c r="K29" s="31"/>
      <c r="L29" s="31"/>
      <c r="M29" s="31"/>
      <c r="N29" s="31"/>
      <c r="O29" s="31"/>
      <c r="P29" s="31"/>
      <c r="Q29" s="31"/>
      <c r="R29" s="31"/>
      <c r="S29" s="31"/>
      <c r="T29" s="31"/>
      <c r="U29" s="31"/>
    </row>
    <row r="30" spans="1:33" ht="14.4" customHeight="1" x14ac:dyDescent="0.3">
      <c r="A30" s="14" t="s">
        <v>61</v>
      </c>
      <c r="B30" s="31" t="s">
        <v>210</v>
      </c>
      <c r="C30" s="31"/>
      <c r="D30" s="31"/>
      <c r="E30" s="31"/>
      <c r="F30" s="31"/>
      <c r="G30" s="31"/>
      <c r="H30" s="31"/>
      <c r="I30" s="31"/>
      <c r="J30" s="31"/>
      <c r="K30" s="31"/>
      <c r="L30" s="31"/>
      <c r="M30" s="31"/>
      <c r="N30" s="31"/>
      <c r="O30" s="31"/>
      <c r="P30" s="31"/>
      <c r="Q30" s="31"/>
      <c r="R30" s="31"/>
      <c r="S30" s="31"/>
      <c r="T30" s="31"/>
      <c r="U30" s="31"/>
    </row>
    <row r="31" spans="1:33" ht="14.4" customHeight="1" x14ac:dyDescent="0.3">
      <c r="A31" s="14" t="s">
        <v>62</v>
      </c>
      <c r="B31" s="31" t="s">
        <v>211</v>
      </c>
      <c r="C31" s="31"/>
      <c r="D31" s="31"/>
      <c r="E31" s="31"/>
      <c r="F31" s="31"/>
      <c r="G31" s="31"/>
      <c r="H31" s="31"/>
      <c r="I31" s="31"/>
      <c r="J31" s="31"/>
      <c r="K31" s="31"/>
      <c r="L31" s="31"/>
      <c r="M31" s="31"/>
      <c r="N31" s="31"/>
      <c r="O31" s="31"/>
      <c r="P31" s="31"/>
      <c r="Q31" s="31"/>
      <c r="R31" s="31"/>
      <c r="S31" s="31"/>
      <c r="T31" s="31"/>
      <c r="U31" s="31"/>
    </row>
    <row r="32" spans="1:33" ht="14.4" customHeight="1" x14ac:dyDescent="0.3">
      <c r="A32" s="14" t="s">
        <v>64</v>
      </c>
      <c r="B32" s="31" t="s">
        <v>65</v>
      </c>
      <c r="C32" s="31" t="s">
        <v>66</v>
      </c>
      <c r="D32" s="31"/>
      <c r="E32" s="31"/>
      <c r="F32" s="31"/>
      <c r="G32" s="31"/>
      <c r="H32" s="31"/>
      <c r="I32" s="31"/>
      <c r="J32" s="31"/>
      <c r="K32" s="31"/>
      <c r="L32" s="31"/>
      <c r="M32" s="31"/>
      <c r="N32" s="31"/>
      <c r="O32" s="31"/>
      <c r="P32" s="31"/>
      <c r="Q32" s="31"/>
      <c r="R32" s="31"/>
      <c r="S32" s="31"/>
      <c r="T32" s="31"/>
      <c r="U32" s="31"/>
    </row>
    <row r="33" spans="1:21" ht="14.4" customHeight="1" x14ac:dyDescent="0.3">
      <c r="A33" s="14"/>
      <c r="B33" s="31">
        <v>799</v>
      </c>
      <c r="C33" s="31">
        <v>6</v>
      </c>
      <c r="D33" s="31"/>
      <c r="E33" s="31"/>
      <c r="F33" s="31"/>
      <c r="G33" s="31"/>
      <c r="H33" s="31"/>
      <c r="I33" s="31"/>
      <c r="J33" s="31"/>
      <c r="K33" s="31"/>
      <c r="L33" s="31"/>
      <c r="M33" s="31"/>
      <c r="N33" s="31"/>
      <c r="O33" s="31"/>
      <c r="P33" s="31"/>
      <c r="Q33" s="31"/>
      <c r="R33" s="31"/>
      <c r="S33" s="31"/>
      <c r="T33" s="31"/>
      <c r="U33" s="31"/>
    </row>
    <row r="34" spans="1:21" ht="14.4" customHeight="1" x14ac:dyDescent="0.3">
      <c r="B34" s="31"/>
      <c r="C34" s="31"/>
      <c r="D34" s="31"/>
      <c r="E34" s="31"/>
      <c r="F34" s="31"/>
      <c r="G34" s="31"/>
      <c r="H34" s="31"/>
      <c r="I34" s="31"/>
      <c r="J34" s="31"/>
      <c r="K34" s="31"/>
      <c r="L34" s="31"/>
      <c r="M34" s="31"/>
      <c r="N34" s="31"/>
      <c r="O34" s="31"/>
      <c r="P34" s="31"/>
      <c r="Q34" s="31"/>
      <c r="R34" s="31"/>
      <c r="S34" s="31"/>
      <c r="T34" s="31"/>
      <c r="U34" s="31"/>
    </row>
    <row r="35" spans="1:21" ht="28.8" x14ac:dyDescent="0.3">
      <c r="A35" s="18" t="s">
        <v>67</v>
      </c>
      <c r="B35" s="31" t="s">
        <v>212</v>
      </c>
      <c r="C35" s="31" t="s">
        <v>213</v>
      </c>
      <c r="D35" s="31" t="s">
        <v>214</v>
      </c>
      <c r="E35" s="31" t="s">
        <v>215</v>
      </c>
      <c r="F35" s="31" t="s">
        <v>216</v>
      </c>
      <c r="G35" s="31" t="s">
        <v>217</v>
      </c>
      <c r="H35" s="31"/>
      <c r="I35" s="31"/>
      <c r="J35" s="31"/>
      <c r="K35" s="31"/>
      <c r="L35" s="31"/>
      <c r="M35" s="31"/>
      <c r="N35" s="31"/>
      <c r="O35" s="31"/>
      <c r="P35" s="31"/>
      <c r="Q35" s="31"/>
      <c r="R35" s="31"/>
      <c r="S35" s="31"/>
      <c r="T35" s="31"/>
      <c r="U35" s="31"/>
    </row>
    <row r="36" spans="1:21" ht="39.6" customHeight="1" x14ac:dyDescent="0.3">
      <c r="A36" s="18" t="s">
        <v>100</v>
      </c>
      <c r="B36" s="31" t="s">
        <v>218</v>
      </c>
      <c r="C36" s="31" t="s">
        <v>219</v>
      </c>
      <c r="D36" s="31" t="s">
        <v>220</v>
      </c>
      <c r="E36" s="31" t="s">
        <v>221</v>
      </c>
      <c r="F36" s="31" t="s">
        <v>222</v>
      </c>
      <c r="G36" s="31" t="s">
        <v>223</v>
      </c>
      <c r="H36" s="31"/>
      <c r="I36" s="31"/>
      <c r="J36" s="31"/>
      <c r="K36" s="31"/>
      <c r="L36" s="31"/>
      <c r="M36" s="31"/>
      <c r="N36" s="31"/>
      <c r="O36" s="31"/>
      <c r="P36" s="31"/>
      <c r="Q36" s="31"/>
      <c r="R36" s="31"/>
      <c r="S36" s="31"/>
      <c r="T36" s="31"/>
      <c r="U36" s="31"/>
    </row>
    <row r="37" spans="1:21" ht="14.4" customHeight="1" x14ac:dyDescent="0.3">
      <c r="A37" s="18" t="s">
        <v>133</v>
      </c>
      <c r="B37" s="31" t="s">
        <v>224</v>
      </c>
      <c r="C37" s="31" t="s">
        <v>225</v>
      </c>
      <c r="D37" s="31" t="s">
        <v>225</v>
      </c>
      <c r="E37" s="31" t="s">
        <v>225</v>
      </c>
      <c r="F37" s="31" t="s">
        <v>225</v>
      </c>
      <c r="G37" s="31" t="s">
        <v>226</v>
      </c>
      <c r="H37" s="31"/>
      <c r="I37" s="31"/>
      <c r="J37" s="31"/>
      <c r="K37" s="31"/>
      <c r="L37" s="31"/>
      <c r="M37" s="31"/>
      <c r="N37" s="31"/>
      <c r="O37" s="31"/>
      <c r="P37" s="31"/>
      <c r="Q37" s="31"/>
      <c r="R37" s="31"/>
      <c r="S37" s="31"/>
      <c r="T37" s="31"/>
      <c r="U37" s="31"/>
    </row>
    <row r="38" spans="1:21" ht="14.4" customHeight="1" x14ac:dyDescent="0.3">
      <c r="A38" s="18" t="s">
        <v>137</v>
      </c>
      <c r="B38" s="31" t="s">
        <v>227</v>
      </c>
      <c r="C38" s="31" t="s">
        <v>228</v>
      </c>
      <c r="D38" s="31" t="s">
        <v>141</v>
      </c>
      <c r="E38" s="31" t="s">
        <v>141</v>
      </c>
      <c r="F38" s="31" t="s">
        <v>141</v>
      </c>
      <c r="G38" s="31" t="s">
        <v>141</v>
      </c>
      <c r="H38" s="31"/>
      <c r="I38" s="31"/>
      <c r="J38" s="31"/>
      <c r="K38" s="31"/>
      <c r="L38" s="31"/>
      <c r="M38" s="31"/>
      <c r="N38" s="31"/>
      <c r="O38" s="31"/>
      <c r="P38" s="31"/>
      <c r="Q38" s="31"/>
      <c r="R38" s="31"/>
      <c r="S38" s="31"/>
      <c r="T38" s="31"/>
      <c r="U38" s="31"/>
    </row>
    <row r="39" spans="1:21" ht="26.4" customHeight="1" x14ac:dyDescent="0.3">
      <c r="A39" s="21" t="s">
        <v>144</v>
      </c>
      <c r="B39" s="31" t="s">
        <v>229</v>
      </c>
      <c r="C39" s="31" t="s">
        <v>230</v>
      </c>
      <c r="D39" s="31" t="s">
        <v>231</v>
      </c>
      <c r="E39" s="31" t="s">
        <v>232</v>
      </c>
      <c r="F39" s="31" t="s">
        <v>233</v>
      </c>
      <c r="G39" s="31" t="s">
        <v>234</v>
      </c>
      <c r="H39" s="31"/>
      <c r="I39" s="31"/>
      <c r="J39" s="31"/>
      <c r="K39" s="31"/>
      <c r="L39" s="31"/>
      <c r="M39" s="31"/>
      <c r="N39" s="31"/>
      <c r="O39" s="31"/>
      <c r="P39" s="31"/>
      <c r="Q39" s="31"/>
      <c r="R39" s="31"/>
      <c r="S39" s="31"/>
      <c r="T39" s="31"/>
      <c r="U39" s="31"/>
    </row>
    <row r="40" spans="1:21" ht="14.4" customHeight="1" x14ac:dyDescent="0.3">
      <c r="A40" s="21" t="s">
        <v>169</v>
      </c>
      <c r="B40" s="31">
        <v>799</v>
      </c>
      <c r="C40" s="31">
        <v>799</v>
      </c>
      <c r="D40" s="31">
        <v>2</v>
      </c>
      <c r="E40" s="31">
        <v>23</v>
      </c>
      <c r="F40" s="31">
        <v>7</v>
      </c>
      <c r="G40" s="31">
        <v>799</v>
      </c>
      <c r="H40" s="31"/>
      <c r="I40" s="31"/>
      <c r="J40" s="31"/>
      <c r="K40" s="31"/>
      <c r="L40" s="31"/>
      <c r="M40" s="31"/>
      <c r="N40" s="31"/>
      <c r="O40" s="31"/>
      <c r="P40" s="31"/>
      <c r="Q40" s="31"/>
      <c r="R40" s="31"/>
      <c r="S40" s="31"/>
      <c r="T40" s="31"/>
      <c r="U40" s="31"/>
    </row>
    <row r="41" spans="1:21" ht="79.2" customHeight="1" x14ac:dyDescent="0.3">
      <c r="A41" s="21" t="s">
        <v>170</v>
      </c>
      <c r="B41" s="31" t="s">
        <v>172</v>
      </c>
      <c r="C41" s="31" t="s">
        <v>172</v>
      </c>
      <c r="D41" s="31" t="s">
        <v>178</v>
      </c>
      <c r="E41" s="31" t="s">
        <v>172</v>
      </c>
      <c r="F41" s="31" t="s">
        <v>235</v>
      </c>
      <c r="G41" s="31" t="s">
        <v>172</v>
      </c>
      <c r="H41" s="31"/>
      <c r="I41" s="31"/>
      <c r="J41" s="31"/>
      <c r="K41" s="31"/>
      <c r="L41" s="31"/>
      <c r="M41" s="31"/>
      <c r="N41" s="31"/>
      <c r="O41" s="31"/>
      <c r="P41" s="31"/>
      <c r="Q41" s="31"/>
      <c r="R41" s="31"/>
      <c r="S41" s="31"/>
      <c r="T41" s="31"/>
      <c r="U41" s="31"/>
    </row>
    <row r="42" spans="1:21" ht="14.4" customHeight="1" x14ac:dyDescent="0.3">
      <c r="A42" s="21" t="s">
        <v>188</v>
      </c>
      <c r="B42" s="31" t="s">
        <v>189</v>
      </c>
      <c r="C42" s="31" t="s">
        <v>189</v>
      </c>
      <c r="D42" s="31" t="s">
        <v>189</v>
      </c>
      <c r="E42" s="31" t="s">
        <v>236</v>
      </c>
      <c r="F42" s="31" t="s">
        <v>237</v>
      </c>
      <c r="G42" s="31" t="s">
        <v>189</v>
      </c>
      <c r="H42" s="31"/>
      <c r="I42" s="31"/>
      <c r="J42" s="31"/>
      <c r="K42" s="31"/>
      <c r="L42" s="31"/>
      <c r="M42" s="31"/>
      <c r="N42" s="31"/>
      <c r="O42" s="31"/>
      <c r="P42" s="31"/>
      <c r="Q42" s="31"/>
      <c r="R42" s="31"/>
      <c r="S42" s="31"/>
      <c r="T42" s="31"/>
      <c r="U42" s="31"/>
    </row>
    <row r="43" spans="1:21" ht="118.95" customHeight="1" x14ac:dyDescent="0.3">
      <c r="A43" s="21" t="s">
        <v>193</v>
      </c>
      <c r="B43" s="31" t="s">
        <v>194</v>
      </c>
      <c r="C43" s="31" t="s">
        <v>194</v>
      </c>
      <c r="D43" s="31" t="s">
        <v>194</v>
      </c>
      <c r="E43" s="31" t="s">
        <v>238</v>
      </c>
      <c r="F43" s="31" t="s">
        <v>239</v>
      </c>
      <c r="G43" s="31" t="s">
        <v>194</v>
      </c>
      <c r="H43" s="31"/>
      <c r="I43" s="31"/>
      <c r="J43" s="31"/>
      <c r="K43" s="31"/>
      <c r="L43" s="31"/>
      <c r="M43" s="31"/>
      <c r="N43" s="31"/>
      <c r="O43" s="31"/>
      <c r="P43" s="31"/>
      <c r="Q43" s="31"/>
      <c r="R43" s="31"/>
      <c r="S43" s="31"/>
      <c r="T43" s="31"/>
      <c r="U43" s="31"/>
    </row>
    <row r="49" spans="1:21" ht="15" customHeight="1" x14ac:dyDescent="0.3">
      <c r="A49" s="12" t="s">
        <v>50</v>
      </c>
      <c r="B49" s="31" t="s">
        <v>240</v>
      </c>
      <c r="C49" s="31"/>
      <c r="D49" s="31"/>
      <c r="E49" s="31"/>
      <c r="F49" s="31"/>
      <c r="G49" s="31"/>
      <c r="H49" s="31"/>
      <c r="I49" s="31"/>
      <c r="J49" s="31"/>
      <c r="K49" s="31"/>
      <c r="L49" s="31"/>
      <c r="M49" s="31"/>
      <c r="N49" s="31"/>
      <c r="O49" s="31"/>
      <c r="P49" s="31"/>
      <c r="Q49" s="31"/>
      <c r="R49" s="31"/>
      <c r="S49" s="31"/>
      <c r="T49" s="31"/>
      <c r="U49" s="31"/>
    </row>
    <row r="50" spans="1:21" ht="15" customHeight="1" x14ac:dyDescent="0.3">
      <c r="A50" s="12" t="s">
        <v>52</v>
      </c>
      <c r="B50" s="31" t="s">
        <v>241</v>
      </c>
      <c r="C50" s="31"/>
      <c r="D50" s="31"/>
      <c r="E50" s="31"/>
      <c r="F50" s="31"/>
      <c r="G50" s="31"/>
      <c r="H50" s="31"/>
      <c r="I50" s="31"/>
      <c r="J50" s="31"/>
      <c r="K50" s="31"/>
      <c r="L50" s="31"/>
      <c r="M50" s="31"/>
      <c r="N50" s="31"/>
      <c r="O50" s="31"/>
      <c r="P50" s="31"/>
      <c r="Q50" s="31"/>
      <c r="R50" s="31"/>
      <c r="S50" s="31"/>
      <c r="T50" s="31"/>
      <c r="U50" s="31"/>
    </row>
    <row r="51" spans="1:21" x14ac:dyDescent="0.3">
      <c r="A51" s="12" t="s">
        <v>54</v>
      </c>
      <c r="B51" s="31" t="s">
        <v>55</v>
      </c>
      <c r="C51" s="31" t="s">
        <v>56</v>
      </c>
      <c r="D51" s="31" t="s">
        <v>57</v>
      </c>
      <c r="E51" s="31"/>
      <c r="F51" s="31"/>
      <c r="G51" s="31"/>
      <c r="H51" s="31"/>
      <c r="I51" s="31"/>
      <c r="J51" s="31"/>
      <c r="K51" s="31"/>
      <c r="L51" s="31"/>
      <c r="M51" s="31"/>
      <c r="N51" s="31"/>
      <c r="O51" s="31"/>
      <c r="P51" s="31"/>
      <c r="Q51" s="31"/>
      <c r="R51" s="31"/>
      <c r="S51" s="31"/>
      <c r="T51" s="31"/>
      <c r="U51" s="31"/>
    </row>
    <row r="52" spans="1:21" ht="15" customHeight="1" x14ac:dyDescent="0.3">
      <c r="A52" s="12"/>
      <c r="B52" s="31" t="s">
        <v>207</v>
      </c>
      <c r="C52" s="31" t="s">
        <v>242</v>
      </c>
      <c r="D52" s="31" t="s">
        <v>243</v>
      </c>
      <c r="E52" s="31"/>
      <c r="F52" s="31"/>
      <c r="G52" s="31"/>
      <c r="H52" s="31"/>
      <c r="I52" s="31"/>
      <c r="J52" s="31"/>
      <c r="K52" s="31"/>
      <c r="L52" s="31"/>
      <c r="M52" s="31"/>
      <c r="N52" s="31"/>
      <c r="O52" s="31"/>
      <c r="P52" s="31"/>
      <c r="Q52" s="31"/>
      <c r="R52" s="31"/>
      <c r="S52" s="31"/>
      <c r="T52" s="31"/>
      <c r="U52" s="31"/>
    </row>
    <row r="53" spans="1:21" x14ac:dyDescent="0.3">
      <c r="A53" s="14" t="s">
        <v>61</v>
      </c>
      <c r="B53" s="31" t="s">
        <v>244</v>
      </c>
      <c r="C53" s="31"/>
      <c r="D53" s="31"/>
      <c r="E53" s="31"/>
      <c r="F53" s="31"/>
      <c r="G53" s="31"/>
      <c r="H53" s="31"/>
      <c r="I53" s="31"/>
      <c r="J53" s="31"/>
      <c r="K53" s="31"/>
      <c r="L53" s="31"/>
      <c r="M53" s="31"/>
      <c r="N53" s="31"/>
      <c r="O53" s="31"/>
      <c r="P53" s="31"/>
      <c r="Q53" s="31"/>
      <c r="R53" s="31"/>
      <c r="S53" s="31"/>
      <c r="T53" s="31"/>
      <c r="U53" s="31"/>
    </row>
    <row r="54" spans="1:21" ht="15" customHeight="1" x14ac:dyDescent="0.3">
      <c r="A54" s="14" t="s">
        <v>62</v>
      </c>
      <c r="B54" s="31" t="s">
        <v>245</v>
      </c>
      <c r="C54" s="31"/>
      <c r="D54" s="31"/>
      <c r="E54" s="31"/>
      <c r="F54" s="31"/>
      <c r="G54" s="31"/>
      <c r="H54" s="31"/>
      <c r="I54" s="31"/>
      <c r="J54" s="31"/>
      <c r="K54" s="31"/>
      <c r="L54" s="31"/>
      <c r="M54" s="31"/>
      <c r="N54" s="31"/>
      <c r="O54" s="31"/>
      <c r="P54" s="31"/>
      <c r="Q54" s="31"/>
      <c r="R54" s="31"/>
      <c r="S54" s="31"/>
      <c r="T54" s="31"/>
      <c r="U54" s="31"/>
    </row>
    <row r="55" spans="1:21" x14ac:dyDescent="0.3">
      <c r="A55" s="14" t="s">
        <v>64</v>
      </c>
      <c r="B55" s="31" t="s">
        <v>65</v>
      </c>
      <c r="C55" s="31" t="s">
        <v>66</v>
      </c>
      <c r="D55" s="31"/>
      <c r="E55" s="31"/>
      <c r="F55" s="31"/>
      <c r="G55" s="31"/>
      <c r="H55" s="31"/>
      <c r="I55" s="31"/>
      <c r="J55" s="31"/>
      <c r="K55" s="31"/>
      <c r="L55" s="31"/>
      <c r="M55" s="31"/>
      <c r="N55" s="31"/>
      <c r="O55" s="31"/>
      <c r="P55" s="31"/>
      <c r="Q55" s="31"/>
      <c r="R55" s="31"/>
      <c r="S55" s="31"/>
      <c r="T55" s="31"/>
      <c r="U55" s="31"/>
    </row>
    <row r="56" spans="1:21" x14ac:dyDescent="0.3">
      <c r="A56" s="14"/>
      <c r="B56" s="31">
        <v>16</v>
      </c>
      <c r="C56" s="31">
        <v>2</v>
      </c>
      <c r="D56" s="31"/>
      <c r="E56" s="31"/>
      <c r="F56" s="31"/>
      <c r="G56" s="31"/>
      <c r="H56" s="31"/>
      <c r="I56" s="31"/>
      <c r="J56" s="31"/>
      <c r="K56" s="31"/>
      <c r="L56" s="31"/>
      <c r="M56" s="31"/>
      <c r="N56" s="31"/>
      <c r="O56" s="31"/>
      <c r="P56" s="31"/>
      <c r="Q56" s="31"/>
      <c r="R56" s="31"/>
      <c r="S56" s="31"/>
      <c r="T56" s="31"/>
      <c r="U56" s="31"/>
    </row>
    <row r="57" spans="1:21" x14ac:dyDescent="0.3">
      <c r="B57" s="31"/>
      <c r="C57" s="31"/>
      <c r="D57" s="31"/>
      <c r="E57" s="31"/>
      <c r="F57" s="31"/>
      <c r="G57" s="31"/>
      <c r="H57" s="31"/>
      <c r="I57" s="31"/>
      <c r="J57" s="31"/>
      <c r="K57" s="31"/>
      <c r="L57" s="31"/>
      <c r="M57" s="31"/>
      <c r="N57" s="31"/>
      <c r="O57" s="31"/>
      <c r="P57" s="31"/>
      <c r="Q57" s="31"/>
      <c r="R57" s="31"/>
      <c r="S57" s="31"/>
      <c r="T57" s="31"/>
      <c r="U57" s="31"/>
    </row>
    <row r="58" spans="1:21" x14ac:dyDescent="0.3">
      <c r="A58" s="18" t="s">
        <v>67</v>
      </c>
      <c r="B58" s="31" t="s">
        <v>246</v>
      </c>
      <c r="C58" s="31" t="s">
        <v>247</v>
      </c>
      <c r="D58" s="31"/>
      <c r="E58" s="31"/>
      <c r="F58" s="31"/>
      <c r="G58" s="31"/>
      <c r="H58" s="31"/>
      <c r="I58" s="31"/>
      <c r="J58" s="31"/>
      <c r="K58" s="31"/>
      <c r="L58" s="31"/>
      <c r="M58" s="31"/>
      <c r="N58" s="31"/>
      <c r="O58" s="31"/>
      <c r="P58" s="31"/>
      <c r="Q58" s="31"/>
      <c r="R58" s="31"/>
      <c r="S58" s="31"/>
      <c r="T58" s="31"/>
      <c r="U58" s="31"/>
    </row>
    <row r="59" spans="1:21" ht="43.2" x14ac:dyDescent="0.3">
      <c r="A59" s="18" t="s">
        <v>100</v>
      </c>
      <c r="B59" s="31" t="s">
        <v>248</v>
      </c>
      <c r="C59" s="31" t="s">
        <v>249</v>
      </c>
      <c r="D59" s="31"/>
      <c r="E59" s="31"/>
      <c r="F59" s="31"/>
      <c r="G59" s="31"/>
      <c r="H59" s="31"/>
      <c r="I59" s="31"/>
      <c r="J59" s="31"/>
      <c r="K59" s="31"/>
      <c r="L59" s="31"/>
      <c r="M59" s="31"/>
      <c r="N59" s="31"/>
      <c r="O59" s="31"/>
      <c r="P59" s="31"/>
      <c r="Q59" s="31"/>
      <c r="R59" s="31"/>
      <c r="S59" s="31"/>
      <c r="T59" s="31"/>
      <c r="U59" s="31"/>
    </row>
    <row r="60" spans="1:21" x14ac:dyDescent="0.3">
      <c r="A60" s="18" t="s">
        <v>133</v>
      </c>
      <c r="B60" s="31" t="s">
        <v>224</v>
      </c>
      <c r="C60" s="31" t="s">
        <v>225</v>
      </c>
      <c r="D60" s="31"/>
      <c r="E60" s="31"/>
      <c r="F60" s="31"/>
      <c r="G60" s="31"/>
      <c r="H60" s="31"/>
      <c r="I60" s="31"/>
      <c r="J60" s="31"/>
      <c r="K60" s="31"/>
      <c r="L60" s="31"/>
      <c r="M60" s="31"/>
      <c r="N60" s="31"/>
      <c r="O60" s="31"/>
      <c r="P60" s="31"/>
      <c r="Q60" s="31"/>
      <c r="R60" s="31"/>
      <c r="S60" s="31"/>
      <c r="T60" s="31"/>
      <c r="U60" s="31"/>
    </row>
    <row r="61" spans="1:21" x14ac:dyDescent="0.3">
      <c r="A61" s="18" t="s">
        <v>137</v>
      </c>
      <c r="B61" s="31" t="s">
        <v>227</v>
      </c>
      <c r="C61" s="31" t="s">
        <v>141</v>
      </c>
      <c r="D61" s="31"/>
      <c r="E61" s="31"/>
      <c r="F61" s="31"/>
      <c r="G61" s="31"/>
      <c r="H61" s="31"/>
      <c r="I61" s="31"/>
      <c r="J61" s="31"/>
      <c r="K61" s="31"/>
      <c r="L61" s="31"/>
      <c r="M61" s="31"/>
      <c r="N61" s="31"/>
      <c r="O61" s="31"/>
      <c r="P61" s="31"/>
      <c r="Q61" s="31"/>
      <c r="R61" s="31"/>
      <c r="S61" s="31"/>
      <c r="T61" s="31"/>
      <c r="U61" s="31"/>
    </row>
    <row r="62" spans="1:21" ht="43.2" x14ac:dyDescent="0.3">
      <c r="A62" s="21" t="s">
        <v>144</v>
      </c>
      <c r="B62" s="31" t="s">
        <v>164</v>
      </c>
      <c r="C62" s="31" t="s">
        <v>250</v>
      </c>
      <c r="D62" s="31"/>
      <c r="E62" s="31"/>
      <c r="F62" s="31"/>
      <c r="G62" s="31"/>
      <c r="H62" s="31"/>
      <c r="I62" s="31"/>
      <c r="J62" s="31"/>
      <c r="K62" s="31"/>
      <c r="L62" s="31"/>
      <c r="M62" s="31"/>
      <c r="N62" s="31"/>
      <c r="O62" s="31"/>
      <c r="P62" s="31"/>
      <c r="Q62" s="31"/>
      <c r="R62" s="31"/>
      <c r="S62" s="31"/>
      <c r="T62" s="31"/>
      <c r="U62" s="31"/>
    </row>
    <row r="63" spans="1:21" x14ac:dyDescent="0.3">
      <c r="A63" s="21" t="s">
        <v>169</v>
      </c>
      <c r="B63" s="31">
        <v>16</v>
      </c>
      <c r="C63" s="31">
        <v>16</v>
      </c>
      <c r="D63" s="31"/>
      <c r="E63" s="31"/>
      <c r="F63" s="31"/>
      <c r="G63" s="31"/>
      <c r="H63" s="31"/>
      <c r="I63" s="31"/>
      <c r="J63" s="31"/>
      <c r="K63" s="31"/>
      <c r="L63" s="31"/>
      <c r="M63" s="31"/>
      <c r="N63" s="31"/>
      <c r="O63" s="31"/>
      <c r="P63" s="31"/>
      <c r="Q63" s="31"/>
      <c r="R63" s="31"/>
      <c r="S63" s="31"/>
      <c r="T63" s="31"/>
      <c r="U63" s="31"/>
    </row>
    <row r="64" spans="1:21" ht="172.8" x14ac:dyDescent="0.3">
      <c r="A64" s="21" t="s">
        <v>170</v>
      </c>
      <c r="B64" s="31" t="s">
        <v>251</v>
      </c>
      <c r="C64" s="31" t="s">
        <v>252</v>
      </c>
      <c r="D64" s="31"/>
      <c r="E64" s="31"/>
      <c r="F64" s="31"/>
      <c r="G64" s="31"/>
      <c r="H64" s="31"/>
      <c r="I64" s="31"/>
      <c r="J64" s="31"/>
      <c r="K64" s="31"/>
      <c r="L64" s="31"/>
      <c r="M64" s="31"/>
      <c r="N64" s="31"/>
      <c r="O64" s="31"/>
      <c r="P64" s="31"/>
      <c r="Q64" s="31"/>
      <c r="R64" s="31"/>
      <c r="S64" s="31"/>
      <c r="T64" s="31"/>
      <c r="U64" s="31"/>
    </row>
    <row r="65" spans="1:21" x14ac:dyDescent="0.3">
      <c r="A65" s="21" t="s">
        <v>188</v>
      </c>
      <c r="B65" s="31" t="s">
        <v>189</v>
      </c>
      <c r="C65" s="31" t="s">
        <v>189</v>
      </c>
      <c r="D65" s="31"/>
      <c r="E65" s="31"/>
      <c r="F65" s="31"/>
      <c r="G65" s="31"/>
      <c r="H65" s="31"/>
      <c r="I65" s="31"/>
      <c r="J65" s="31"/>
      <c r="K65" s="31"/>
      <c r="L65" s="31"/>
      <c r="M65" s="31"/>
      <c r="N65" s="31"/>
      <c r="O65" s="31"/>
      <c r="P65" s="31"/>
      <c r="Q65" s="31"/>
      <c r="R65" s="31"/>
      <c r="S65" s="31"/>
      <c r="T65" s="31"/>
      <c r="U65" s="31"/>
    </row>
    <row r="66" spans="1:21" ht="172.8" x14ac:dyDescent="0.3">
      <c r="A66" s="21" t="s">
        <v>193</v>
      </c>
      <c r="B66" s="31" t="s">
        <v>253</v>
      </c>
      <c r="C66" s="31" t="s">
        <v>254</v>
      </c>
      <c r="D66" s="31"/>
      <c r="E66" s="31"/>
      <c r="F66" s="31"/>
      <c r="G66" s="31"/>
      <c r="H66" s="31"/>
      <c r="I66" s="31"/>
      <c r="J66" s="31"/>
      <c r="K66" s="31"/>
      <c r="L66" s="31"/>
      <c r="M66" s="31"/>
      <c r="N66" s="31"/>
      <c r="O66" s="31"/>
      <c r="P66" s="31"/>
      <c r="Q66" s="31"/>
      <c r="R66" s="31"/>
      <c r="S66" s="31"/>
      <c r="T66" s="31"/>
      <c r="U66" s="31"/>
    </row>
    <row r="75" spans="1:21" ht="15" customHeight="1" x14ac:dyDescent="0.3">
      <c r="A75" s="12" t="s">
        <v>50</v>
      </c>
      <c r="B75" s="31" t="s">
        <v>255</v>
      </c>
      <c r="C75" s="31"/>
      <c r="D75" s="31"/>
      <c r="E75" s="31"/>
      <c r="F75" s="31"/>
      <c r="G75" s="31"/>
      <c r="H75" s="31"/>
      <c r="I75" s="31"/>
      <c r="J75" s="31"/>
      <c r="K75" s="31"/>
      <c r="L75" s="31"/>
      <c r="M75" s="31"/>
      <c r="N75" s="31"/>
      <c r="O75" s="31"/>
      <c r="P75" s="31"/>
      <c r="Q75" s="31"/>
      <c r="R75" s="31"/>
      <c r="S75" s="31"/>
      <c r="T75" s="31"/>
      <c r="U75" s="31"/>
    </row>
    <row r="76" spans="1:21" ht="32.25" customHeight="1" x14ac:dyDescent="0.3">
      <c r="A76" s="12" t="s">
        <v>52</v>
      </c>
      <c r="B76" s="31" t="s">
        <v>256</v>
      </c>
      <c r="C76" s="31"/>
      <c r="D76" s="31"/>
      <c r="E76" s="31"/>
      <c r="F76" s="31"/>
      <c r="G76" s="31"/>
      <c r="H76" s="31"/>
      <c r="I76" s="31"/>
      <c r="J76" s="31"/>
      <c r="K76" s="31"/>
      <c r="L76" s="31"/>
      <c r="M76" s="31"/>
      <c r="N76" s="31"/>
      <c r="O76" s="31"/>
      <c r="P76" s="31"/>
      <c r="Q76" s="31"/>
      <c r="R76" s="31"/>
      <c r="S76" s="31"/>
      <c r="T76" s="31"/>
      <c r="U76" s="31"/>
    </row>
    <row r="77" spans="1:21" x14ac:dyDescent="0.3">
      <c r="A77" s="12" t="s">
        <v>54</v>
      </c>
      <c r="B77" s="31" t="s">
        <v>55</v>
      </c>
      <c r="C77" s="31" t="s">
        <v>56</v>
      </c>
      <c r="D77" s="31" t="s">
        <v>57</v>
      </c>
      <c r="E77" s="31"/>
      <c r="F77" s="31"/>
      <c r="G77" s="31"/>
      <c r="H77" s="31"/>
      <c r="I77" s="31"/>
      <c r="J77" s="31"/>
      <c r="K77" s="31"/>
      <c r="L77" s="31"/>
      <c r="M77" s="31"/>
      <c r="N77" s="31"/>
      <c r="O77" s="31"/>
      <c r="P77" s="31"/>
      <c r="Q77" s="31"/>
      <c r="R77" s="31"/>
      <c r="S77" s="31"/>
      <c r="T77" s="31"/>
      <c r="U77" s="31"/>
    </row>
    <row r="78" spans="1:21" ht="15" customHeight="1" x14ac:dyDescent="0.3">
      <c r="A78" s="12"/>
      <c r="B78" s="31" t="s">
        <v>207</v>
      </c>
      <c r="C78" s="31" t="s">
        <v>257</v>
      </c>
      <c r="D78" s="31" t="s">
        <v>258</v>
      </c>
      <c r="E78" s="31"/>
      <c r="F78" s="31"/>
      <c r="G78" s="31"/>
      <c r="H78" s="31"/>
      <c r="I78" s="31"/>
      <c r="J78" s="31"/>
      <c r="K78" s="31"/>
      <c r="L78" s="31"/>
      <c r="M78" s="31"/>
      <c r="N78" s="31"/>
      <c r="O78" s="31"/>
      <c r="P78" s="31"/>
      <c r="Q78" s="31"/>
      <c r="R78" s="31"/>
      <c r="S78" s="31"/>
      <c r="T78" s="31"/>
      <c r="U78" s="31"/>
    </row>
    <row r="79" spans="1:21" x14ac:dyDescent="0.3">
      <c r="A79" s="14" t="s">
        <v>61</v>
      </c>
      <c r="B79" s="31" t="s">
        <v>259</v>
      </c>
      <c r="C79" s="31"/>
      <c r="D79" s="31"/>
      <c r="E79" s="31"/>
      <c r="F79" s="31"/>
      <c r="G79" s="31"/>
      <c r="H79" s="31"/>
      <c r="I79" s="31"/>
      <c r="J79" s="31"/>
      <c r="K79" s="31"/>
      <c r="L79" s="31"/>
      <c r="M79" s="31"/>
      <c r="N79" s="31"/>
      <c r="O79" s="31"/>
      <c r="P79" s="31"/>
      <c r="Q79" s="31"/>
      <c r="R79" s="31"/>
      <c r="S79" s="31"/>
      <c r="T79" s="31"/>
      <c r="U79" s="31"/>
    </row>
    <row r="80" spans="1:21" ht="15" customHeight="1" x14ac:dyDescent="0.3">
      <c r="A80" s="14" t="s">
        <v>62</v>
      </c>
      <c r="B80" s="31" t="s">
        <v>260</v>
      </c>
      <c r="C80" s="31"/>
      <c r="D80" s="31"/>
      <c r="E80" s="31"/>
      <c r="F80" s="31"/>
      <c r="G80" s="31"/>
      <c r="H80" s="31"/>
      <c r="I80" s="31"/>
      <c r="J80" s="31"/>
      <c r="K80" s="31"/>
      <c r="L80" s="31"/>
      <c r="M80" s="31"/>
      <c r="N80" s="31"/>
      <c r="O80" s="31"/>
      <c r="P80" s="31"/>
      <c r="Q80" s="31"/>
      <c r="R80" s="31"/>
      <c r="S80" s="31"/>
      <c r="T80" s="31"/>
      <c r="U80" s="31"/>
    </row>
    <row r="81" spans="1:29" x14ac:dyDescent="0.3">
      <c r="A81" s="14" t="s">
        <v>64</v>
      </c>
      <c r="B81" s="31" t="s">
        <v>65</v>
      </c>
      <c r="C81" s="31" t="s">
        <v>66</v>
      </c>
      <c r="D81" s="31"/>
      <c r="E81" s="31"/>
      <c r="F81" s="31"/>
      <c r="G81" s="31"/>
      <c r="H81" s="31"/>
      <c r="I81" s="31"/>
      <c r="J81" s="31"/>
      <c r="K81" s="31"/>
      <c r="L81" s="31"/>
      <c r="M81" s="31"/>
      <c r="N81" s="31"/>
      <c r="O81" s="31"/>
      <c r="P81" s="31"/>
      <c r="Q81" s="31"/>
      <c r="R81" s="31"/>
      <c r="S81" s="31"/>
      <c r="T81" s="31"/>
      <c r="U81" s="31"/>
    </row>
    <row r="82" spans="1:29" x14ac:dyDescent="0.3">
      <c r="A82" s="14"/>
      <c r="B82" s="31">
        <v>1212</v>
      </c>
      <c r="C82" s="31">
        <v>28</v>
      </c>
      <c r="D82" s="31"/>
      <c r="E82" s="31"/>
      <c r="F82" s="31"/>
      <c r="G82" s="31"/>
      <c r="H82" s="31"/>
      <c r="I82" s="31"/>
      <c r="J82" s="31"/>
      <c r="K82" s="31"/>
      <c r="L82" s="31"/>
      <c r="M82" s="31"/>
      <c r="N82" s="31"/>
      <c r="O82" s="31"/>
      <c r="P82" s="31"/>
      <c r="Q82" s="31"/>
      <c r="R82" s="31"/>
      <c r="S82" s="31"/>
      <c r="T82" s="31"/>
      <c r="U82" s="31"/>
    </row>
    <row r="83" spans="1:29" x14ac:dyDescent="0.3">
      <c r="B83" s="31"/>
      <c r="C83" s="31"/>
      <c r="D83" s="31"/>
      <c r="E83" s="31"/>
      <c r="F83" s="31"/>
      <c r="G83" s="31"/>
      <c r="H83" s="31"/>
      <c r="I83" s="31"/>
      <c r="J83" s="31"/>
      <c r="K83" s="31"/>
      <c r="L83" s="31"/>
      <c r="M83" s="31"/>
      <c r="N83" s="31"/>
      <c r="O83" s="31"/>
      <c r="P83" s="31"/>
      <c r="Q83" s="31"/>
      <c r="R83" s="31"/>
      <c r="S83" s="31"/>
      <c r="T83" s="31"/>
      <c r="U83" s="31"/>
    </row>
    <row r="84" spans="1:29" ht="43.2" x14ac:dyDescent="0.3">
      <c r="A84" s="18" t="s">
        <v>67</v>
      </c>
      <c r="B84" s="31" t="s">
        <v>69</v>
      </c>
      <c r="C84" s="31" t="s">
        <v>68</v>
      </c>
      <c r="D84" s="31" t="s">
        <v>261</v>
      </c>
      <c r="E84" s="31" t="s">
        <v>262</v>
      </c>
      <c r="F84" s="31" t="s">
        <v>263</v>
      </c>
      <c r="G84" s="31" t="s">
        <v>264</v>
      </c>
      <c r="H84" s="31" t="s">
        <v>265</v>
      </c>
      <c r="I84" s="31" t="s">
        <v>266</v>
      </c>
      <c r="J84" s="31" t="s">
        <v>267</v>
      </c>
      <c r="K84" s="31" t="s">
        <v>268</v>
      </c>
      <c r="L84" s="31" t="s">
        <v>269</v>
      </c>
      <c r="M84" s="31" t="s">
        <v>270</v>
      </c>
      <c r="N84" s="31" t="s">
        <v>271</v>
      </c>
      <c r="O84" s="31" t="s">
        <v>272</v>
      </c>
      <c r="P84" s="31" t="s">
        <v>273</v>
      </c>
      <c r="Q84" s="31" t="s">
        <v>274</v>
      </c>
      <c r="R84" s="31" t="s">
        <v>275</v>
      </c>
      <c r="S84" s="31" t="s">
        <v>276</v>
      </c>
      <c r="T84" s="31" t="s">
        <v>277</v>
      </c>
      <c r="U84" s="31" t="s">
        <v>278</v>
      </c>
      <c r="V84" s="31" t="s">
        <v>279</v>
      </c>
      <c r="W84" s="31" t="s">
        <v>280</v>
      </c>
      <c r="X84" s="31" t="s">
        <v>281</v>
      </c>
      <c r="Y84" s="31" t="s">
        <v>282</v>
      </c>
      <c r="Z84" s="31" t="s">
        <v>283</v>
      </c>
      <c r="AA84" s="31" t="s">
        <v>284</v>
      </c>
      <c r="AB84" s="31" t="s">
        <v>285</v>
      </c>
      <c r="AC84" s="31" t="s">
        <v>286</v>
      </c>
    </row>
    <row r="85" spans="1:29" ht="86.4" x14ac:dyDescent="0.3">
      <c r="A85" s="18" t="s">
        <v>100</v>
      </c>
      <c r="B85" s="31" t="s">
        <v>287</v>
      </c>
      <c r="C85" s="31" t="s">
        <v>288</v>
      </c>
      <c r="D85" s="31" t="s">
        <v>289</v>
      </c>
      <c r="E85" s="31" t="s">
        <v>290</v>
      </c>
      <c r="F85" s="31" t="s">
        <v>291</v>
      </c>
      <c r="G85" s="31" t="s">
        <v>292</v>
      </c>
      <c r="H85" s="31" t="s">
        <v>293</v>
      </c>
      <c r="I85" s="31" t="s">
        <v>294</v>
      </c>
      <c r="J85" s="31" t="s">
        <v>295</v>
      </c>
      <c r="K85" s="31" t="s">
        <v>296</v>
      </c>
      <c r="L85" s="31" t="s">
        <v>297</v>
      </c>
      <c r="M85" s="31" t="s">
        <v>298</v>
      </c>
      <c r="N85" s="31" t="s">
        <v>299</v>
      </c>
      <c r="O85" s="31" t="s">
        <v>300</v>
      </c>
      <c r="P85" s="31" t="s">
        <v>301</v>
      </c>
      <c r="Q85" s="31" t="s">
        <v>302</v>
      </c>
      <c r="R85" s="31" t="s">
        <v>303</v>
      </c>
      <c r="S85" s="31" t="s">
        <v>304</v>
      </c>
      <c r="T85" s="31" t="s">
        <v>305</v>
      </c>
      <c r="U85" s="31" t="s">
        <v>306</v>
      </c>
      <c r="V85" s="31" t="s">
        <v>307</v>
      </c>
      <c r="W85" s="31" t="s">
        <v>308</v>
      </c>
      <c r="X85" s="31" t="s">
        <v>309</v>
      </c>
      <c r="Y85" s="31" t="s">
        <v>310</v>
      </c>
      <c r="Z85" s="31" t="s">
        <v>311</v>
      </c>
      <c r="AA85" s="31" t="s">
        <v>312</v>
      </c>
      <c r="AB85" s="31" t="s">
        <v>313</v>
      </c>
      <c r="AC85" s="31" t="s">
        <v>314</v>
      </c>
    </row>
    <row r="86" spans="1:29" x14ac:dyDescent="0.3">
      <c r="A86" s="18" t="s">
        <v>133</v>
      </c>
      <c r="B86" s="31" t="s">
        <v>224</v>
      </c>
      <c r="C86" s="31" t="s">
        <v>224</v>
      </c>
      <c r="D86" s="31" t="s">
        <v>315</v>
      </c>
      <c r="E86" s="31" t="s">
        <v>225</v>
      </c>
      <c r="F86" s="31" t="s">
        <v>316</v>
      </c>
      <c r="G86" s="31" t="s">
        <v>225</v>
      </c>
      <c r="H86" s="31" t="s">
        <v>315</v>
      </c>
      <c r="I86" s="31" t="s">
        <v>225</v>
      </c>
      <c r="J86" s="31" t="s">
        <v>225</v>
      </c>
      <c r="K86" s="31" t="s">
        <v>225</v>
      </c>
      <c r="L86" s="31" t="s">
        <v>315</v>
      </c>
      <c r="M86" s="31" t="s">
        <v>225</v>
      </c>
      <c r="N86" s="31" t="s">
        <v>225</v>
      </c>
      <c r="O86" s="31" t="s">
        <v>225</v>
      </c>
      <c r="P86" s="31" t="s">
        <v>225</v>
      </c>
      <c r="Q86" s="31" t="s">
        <v>225</v>
      </c>
      <c r="R86" s="31" t="s">
        <v>225</v>
      </c>
      <c r="S86" s="31" t="s">
        <v>225</v>
      </c>
      <c r="T86" s="31" t="s">
        <v>225</v>
      </c>
      <c r="U86" s="31" t="s">
        <v>315</v>
      </c>
      <c r="V86" s="31" t="s">
        <v>315</v>
      </c>
      <c r="W86" s="31" t="s">
        <v>225</v>
      </c>
      <c r="X86" s="31" t="s">
        <v>225</v>
      </c>
      <c r="Y86" s="31" t="s">
        <v>224</v>
      </c>
      <c r="Z86" s="31" t="s">
        <v>224</v>
      </c>
      <c r="AA86" s="31" t="s">
        <v>224</v>
      </c>
      <c r="AB86" s="31" t="s">
        <v>224</v>
      </c>
      <c r="AC86" s="31" t="s">
        <v>224</v>
      </c>
    </row>
    <row r="87" spans="1:29" ht="72" x14ac:dyDescent="0.3">
      <c r="A87" s="18" t="s">
        <v>137</v>
      </c>
      <c r="B87" s="31" t="s">
        <v>227</v>
      </c>
      <c r="C87" s="31" t="s">
        <v>317</v>
      </c>
      <c r="D87" s="31" t="s">
        <v>141</v>
      </c>
      <c r="E87" s="31" t="s">
        <v>141</v>
      </c>
      <c r="F87" s="31" t="s">
        <v>141</v>
      </c>
      <c r="G87" s="31" t="s">
        <v>141</v>
      </c>
      <c r="H87" s="31" t="s">
        <v>141</v>
      </c>
      <c r="I87" s="31" t="s">
        <v>141</v>
      </c>
      <c r="J87" s="31" t="s">
        <v>141</v>
      </c>
      <c r="K87" s="31" t="s">
        <v>141</v>
      </c>
      <c r="L87" s="31" t="s">
        <v>141</v>
      </c>
      <c r="M87" s="31" t="s">
        <v>141</v>
      </c>
      <c r="N87" s="31" t="s">
        <v>141</v>
      </c>
      <c r="O87" s="31" t="s">
        <v>318</v>
      </c>
      <c r="P87" s="31" t="s">
        <v>143</v>
      </c>
      <c r="Q87" s="31" t="s">
        <v>143</v>
      </c>
      <c r="R87" s="31" t="s">
        <v>143</v>
      </c>
      <c r="S87" s="31" t="s">
        <v>141</v>
      </c>
      <c r="T87" s="31" t="s">
        <v>143</v>
      </c>
      <c r="U87" s="31" t="s">
        <v>141</v>
      </c>
      <c r="V87" s="31" t="s">
        <v>141</v>
      </c>
      <c r="W87" s="31" t="s">
        <v>141</v>
      </c>
      <c r="X87" s="31" t="s">
        <v>140</v>
      </c>
      <c r="Y87" s="31" t="s">
        <v>142</v>
      </c>
      <c r="Z87" s="31" t="s">
        <v>142</v>
      </c>
      <c r="AA87" s="31" t="s">
        <v>142</v>
      </c>
      <c r="AB87" s="31" t="s">
        <v>142</v>
      </c>
      <c r="AC87" s="31" t="s">
        <v>319</v>
      </c>
    </row>
    <row r="88" spans="1:29" ht="80.25" customHeight="1" x14ac:dyDescent="0.3">
      <c r="A88" s="21" t="s">
        <v>144</v>
      </c>
      <c r="B88" s="31" t="s">
        <v>320</v>
      </c>
      <c r="C88" s="31" t="s">
        <v>145</v>
      </c>
      <c r="D88" s="31" t="s">
        <v>321</v>
      </c>
      <c r="E88" s="31" t="s">
        <v>322</v>
      </c>
      <c r="F88" s="31" t="s">
        <v>323</v>
      </c>
      <c r="G88" s="31" t="s">
        <v>324</v>
      </c>
      <c r="H88" s="31" t="s">
        <v>325</v>
      </c>
      <c r="I88" s="31" t="s">
        <v>326</v>
      </c>
      <c r="J88" s="31" t="s">
        <v>327</v>
      </c>
      <c r="K88" s="31" t="s">
        <v>327</v>
      </c>
      <c r="L88" s="31" t="s">
        <v>328</v>
      </c>
      <c r="M88" s="31" t="s">
        <v>145</v>
      </c>
      <c r="N88" s="31" t="s">
        <v>329</v>
      </c>
      <c r="O88" s="31" t="s">
        <v>330</v>
      </c>
      <c r="P88" s="31" t="s">
        <v>331</v>
      </c>
      <c r="Q88" s="31" t="s">
        <v>332</v>
      </c>
      <c r="R88" s="31" t="s">
        <v>333</v>
      </c>
      <c r="S88" s="31" t="s">
        <v>334</v>
      </c>
      <c r="T88" s="31" t="s">
        <v>335</v>
      </c>
      <c r="U88" s="31" t="s">
        <v>336</v>
      </c>
      <c r="V88" s="31" t="s">
        <v>337</v>
      </c>
      <c r="W88" s="31" t="s">
        <v>338</v>
      </c>
      <c r="X88" s="31" t="s">
        <v>339</v>
      </c>
      <c r="Y88" s="31" t="s">
        <v>340</v>
      </c>
      <c r="Z88" s="31" t="s">
        <v>341</v>
      </c>
      <c r="AA88" s="31" t="s">
        <v>342</v>
      </c>
      <c r="AB88" s="31" t="s">
        <v>343</v>
      </c>
      <c r="AC88" s="31" t="s">
        <v>344</v>
      </c>
    </row>
    <row r="89" spans="1:29" x14ac:dyDescent="0.3">
      <c r="A89" s="21" t="s">
        <v>169</v>
      </c>
      <c r="B89" s="31">
        <v>1212</v>
      </c>
      <c r="C89" s="31">
        <v>19</v>
      </c>
      <c r="D89" s="31">
        <v>1</v>
      </c>
      <c r="E89" s="31">
        <v>37</v>
      </c>
      <c r="F89" s="31">
        <v>920</v>
      </c>
      <c r="G89" s="31">
        <v>1</v>
      </c>
      <c r="H89" s="31">
        <v>72</v>
      </c>
      <c r="I89" s="31">
        <v>1</v>
      </c>
      <c r="J89" s="31">
        <v>1</v>
      </c>
      <c r="K89" s="31">
        <v>1</v>
      </c>
      <c r="L89" s="31">
        <v>1</v>
      </c>
      <c r="M89" s="31">
        <v>19</v>
      </c>
      <c r="N89" s="31">
        <v>1</v>
      </c>
      <c r="O89" s="31">
        <v>59</v>
      </c>
      <c r="P89" s="31">
        <v>14</v>
      </c>
      <c r="Q89" s="31">
        <v>14</v>
      </c>
      <c r="R89" s="31">
        <v>14</v>
      </c>
      <c r="S89" s="31">
        <v>2</v>
      </c>
      <c r="T89" s="31">
        <v>14</v>
      </c>
      <c r="U89" s="31">
        <v>103</v>
      </c>
      <c r="V89" s="31">
        <v>10</v>
      </c>
      <c r="W89" s="31">
        <v>3</v>
      </c>
      <c r="X89" s="31">
        <v>318</v>
      </c>
      <c r="Y89" s="31">
        <v>14</v>
      </c>
      <c r="Z89" s="31">
        <v>14</v>
      </c>
      <c r="AA89" s="31">
        <v>14</v>
      </c>
      <c r="AB89" s="31">
        <v>14</v>
      </c>
      <c r="AC89" s="31">
        <v>318</v>
      </c>
    </row>
    <row r="90" spans="1:29" ht="93.75" customHeight="1" x14ac:dyDescent="0.3">
      <c r="A90" s="21" t="s">
        <v>170</v>
      </c>
      <c r="B90" s="31" t="s">
        <v>172</v>
      </c>
      <c r="C90" s="31" t="s">
        <v>171</v>
      </c>
      <c r="D90" s="31" t="s">
        <v>345</v>
      </c>
      <c r="E90" s="31" t="s">
        <v>172</v>
      </c>
      <c r="F90" s="31" t="s">
        <v>172</v>
      </c>
      <c r="G90" s="31" t="s">
        <v>346</v>
      </c>
      <c r="H90" s="31" t="s">
        <v>172</v>
      </c>
      <c r="I90" s="31" t="s">
        <v>347</v>
      </c>
      <c r="J90" s="31" t="s">
        <v>348</v>
      </c>
      <c r="K90" s="31" t="s">
        <v>348</v>
      </c>
      <c r="L90" s="31" t="s">
        <v>349</v>
      </c>
      <c r="M90" s="31" t="s">
        <v>350</v>
      </c>
      <c r="N90" s="31" t="s">
        <v>351</v>
      </c>
      <c r="O90" s="31" t="s">
        <v>172</v>
      </c>
      <c r="P90" s="31" t="s">
        <v>187</v>
      </c>
      <c r="Q90" s="31" t="s">
        <v>187</v>
      </c>
      <c r="R90" s="31" t="s">
        <v>187</v>
      </c>
      <c r="S90" s="31" t="s">
        <v>352</v>
      </c>
      <c r="T90" s="31" t="s">
        <v>187</v>
      </c>
      <c r="U90" s="31" t="s">
        <v>172</v>
      </c>
      <c r="V90" s="31" t="s">
        <v>353</v>
      </c>
      <c r="W90" s="31" t="s">
        <v>354</v>
      </c>
      <c r="X90" s="31" t="s">
        <v>172</v>
      </c>
      <c r="Y90" s="31" t="s">
        <v>186</v>
      </c>
      <c r="Z90" s="31" t="s">
        <v>186</v>
      </c>
      <c r="AA90" s="31" t="s">
        <v>186</v>
      </c>
      <c r="AB90" s="31" t="s">
        <v>186</v>
      </c>
      <c r="AC90" s="31" t="s">
        <v>172</v>
      </c>
    </row>
    <row r="91" spans="1:29" x14ac:dyDescent="0.3">
      <c r="A91" s="21" t="s">
        <v>188</v>
      </c>
      <c r="B91" s="31" t="s">
        <v>189</v>
      </c>
      <c r="C91" s="31" t="s">
        <v>189</v>
      </c>
      <c r="D91" s="31" t="s">
        <v>189</v>
      </c>
      <c r="E91" s="31" t="s">
        <v>355</v>
      </c>
      <c r="F91" s="31" t="s">
        <v>189</v>
      </c>
      <c r="G91" s="31" t="s">
        <v>189</v>
      </c>
      <c r="H91" s="31" t="s">
        <v>356</v>
      </c>
      <c r="I91" s="31" t="s">
        <v>189</v>
      </c>
      <c r="J91" s="31" t="s">
        <v>189</v>
      </c>
      <c r="K91" s="31" t="s">
        <v>189</v>
      </c>
      <c r="L91" s="31" t="s">
        <v>189</v>
      </c>
      <c r="M91" s="31" t="s">
        <v>189</v>
      </c>
      <c r="N91" s="31" t="s">
        <v>189</v>
      </c>
      <c r="O91" s="31" t="s">
        <v>189</v>
      </c>
      <c r="P91" s="31" t="s">
        <v>189</v>
      </c>
      <c r="Q91" s="31" t="s">
        <v>189</v>
      </c>
      <c r="R91" s="31" t="s">
        <v>189</v>
      </c>
      <c r="S91" s="31" t="s">
        <v>189</v>
      </c>
      <c r="T91" s="31" t="s">
        <v>189</v>
      </c>
      <c r="U91" s="31" t="s">
        <v>357</v>
      </c>
      <c r="V91" s="31" t="s">
        <v>358</v>
      </c>
      <c r="W91" s="31" t="s">
        <v>189</v>
      </c>
      <c r="X91" s="31" t="s">
        <v>359</v>
      </c>
      <c r="Y91" s="31" t="s">
        <v>189</v>
      </c>
      <c r="Z91" s="31" t="s">
        <v>189</v>
      </c>
      <c r="AA91" s="31" t="s">
        <v>189</v>
      </c>
      <c r="AB91" s="31" t="s">
        <v>189</v>
      </c>
      <c r="AC91" s="31" t="s">
        <v>359</v>
      </c>
    </row>
    <row r="92" spans="1:29" ht="90" customHeight="1" x14ac:dyDescent="0.3">
      <c r="A92" s="21" t="s">
        <v>193</v>
      </c>
      <c r="B92" s="31" t="s">
        <v>194</v>
      </c>
      <c r="C92" s="31" t="s">
        <v>360</v>
      </c>
      <c r="D92" s="31" t="s">
        <v>361</v>
      </c>
      <c r="E92" s="31" t="s">
        <v>362</v>
      </c>
      <c r="F92" s="31" t="s">
        <v>194</v>
      </c>
      <c r="G92" s="31" t="s">
        <v>363</v>
      </c>
      <c r="H92" s="31" t="s">
        <v>364</v>
      </c>
      <c r="I92" s="31" t="s">
        <v>365</v>
      </c>
      <c r="J92" s="31" t="s">
        <v>366</v>
      </c>
      <c r="K92" s="31" t="s">
        <v>367</v>
      </c>
      <c r="L92" s="31" t="s">
        <v>368</v>
      </c>
      <c r="M92" s="31" t="s">
        <v>369</v>
      </c>
      <c r="N92" s="31" t="s">
        <v>370</v>
      </c>
      <c r="O92" s="31" t="s">
        <v>371</v>
      </c>
      <c r="P92" s="31" t="s">
        <v>194</v>
      </c>
      <c r="Q92" s="31" t="s">
        <v>372</v>
      </c>
      <c r="R92" s="31" t="s">
        <v>194</v>
      </c>
      <c r="S92" s="31" t="s">
        <v>194</v>
      </c>
      <c r="T92" s="31" t="s">
        <v>194</v>
      </c>
      <c r="U92" s="31" t="s">
        <v>373</v>
      </c>
      <c r="V92" s="31" t="s">
        <v>374</v>
      </c>
      <c r="W92" s="31" t="s">
        <v>194</v>
      </c>
      <c r="X92" s="31" t="s">
        <v>375</v>
      </c>
      <c r="Y92" s="31" t="s">
        <v>194</v>
      </c>
      <c r="Z92" s="31" t="s">
        <v>194</v>
      </c>
      <c r="AA92" s="31" t="s">
        <v>194</v>
      </c>
      <c r="AB92" s="31" t="s">
        <v>376</v>
      </c>
      <c r="AC92" s="31" t="s">
        <v>377</v>
      </c>
    </row>
    <row r="103" spans="1:29" ht="15" customHeight="1" x14ac:dyDescent="0.3">
      <c r="A103" s="12" t="s">
        <v>50</v>
      </c>
      <c r="B103" s="31" t="s">
        <v>378</v>
      </c>
      <c r="C103" s="31"/>
      <c r="D103" s="31"/>
      <c r="E103" s="31"/>
      <c r="F103" s="31"/>
      <c r="G103" s="31"/>
      <c r="H103" s="31"/>
      <c r="I103" s="31"/>
      <c r="J103" s="31"/>
      <c r="K103" s="31"/>
      <c r="L103" s="31"/>
      <c r="M103" s="31"/>
      <c r="N103" s="31"/>
      <c r="O103" s="31"/>
      <c r="P103" s="31"/>
      <c r="Q103" s="31"/>
      <c r="R103" s="31"/>
      <c r="S103" s="31"/>
      <c r="T103" s="31"/>
      <c r="U103" s="31"/>
      <c r="V103" s="33" t="s">
        <v>279</v>
      </c>
      <c r="W103" s="34" t="s">
        <v>280</v>
      </c>
      <c r="X103" s="34" t="s">
        <v>281</v>
      </c>
      <c r="Y103" s="34" t="s">
        <v>282</v>
      </c>
      <c r="Z103" s="34" t="s">
        <v>283</v>
      </c>
      <c r="AA103" s="34" t="s">
        <v>284</v>
      </c>
      <c r="AB103" s="34" t="s">
        <v>285</v>
      </c>
      <c r="AC103" s="34" t="s">
        <v>286</v>
      </c>
    </row>
    <row r="104" spans="1:29" ht="15" customHeight="1" x14ac:dyDescent="0.3">
      <c r="A104" s="12" t="s">
        <v>52</v>
      </c>
      <c r="B104" s="31" t="s">
        <v>379</v>
      </c>
      <c r="C104" s="31"/>
      <c r="D104" s="31"/>
      <c r="E104" s="31"/>
      <c r="F104" s="31"/>
      <c r="G104" s="31"/>
      <c r="H104" s="31"/>
      <c r="I104" s="31"/>
      <c r="J104" s="31"/>
      <c r="K104" s="31"/>
      <c r="L104" s="31"/>
      <c r="M104" s="31"/>
      <c r="N104" s="31"/>
      <c r="O104" s="31"/>
      <c r="P104" s="31"/>
      <c r="Q104" s="31"/>
      <c r="R104" s="31"/>
      <c r="S104" s="31"/>
      <c r="T104" s="31"/>
      <c r="U104" s="31"/>
      <c r="V104" s="33" t="s">
        <v>307</v>
      </c>
      <c r="W104" s="34" t="s">
        <v>308</v>
      </c>
      <c r="X104" s="34" t="s">
        <v>309</v>
      </c>
      <c r="Y104" s="34" t="s">
        <v>310</v>
      </c>
      <c r="Z104" s="34" t="s">
        <v>311</v>
      </c>
      <c r="AA104" s="34" t="s">
        <v>312</v>
      </c>
      <c r="AB104" s="34" t="s">
        <v>313</v>
      </c>
      <c r="AC104" s="34" t="s">
        <v>314</v>
      </c>
    </row>
    <row r="105" spans="1:29" x14ac:dyDescent="0.3">
      <c r="A105" s="12" t="s">
        <v>54</v>
      </c>
      <c r="B105" s="31" t="s">
        <v>55</v>
      </c>
      <c r="C105" s="31" t="s">
        <v>56</v>
      </c>
      <c r="D105" s="31" t="s">
        <v>57</v>
      </c>
      <c r="E105" s="31"/>
      <c r="F105" s="31"/>
      <c r="G105" s="31"/>
      <c r="H105" s="31"/>
      <c r="I105" s="31"/>
      <c r="J105" s="31"/>
      <c r="K105" s="31"/>
      <c r="L105" s="31"/>
      <c r="M105" s="31"/>
      <c r="N105" s="31"/>
      <c r="O105" s="31"/>
      <c r="P105" s="31"/>
      <c r="Q105" s="31"/>
      <c r="R105" s="31"/>
      <c r="S105" s="31"/>
      <c r="T105" s="31"/>
      <c r="U105" s="31"/>
      <c r="V105" s="33" t="s">
        <v>315</v>
      </c>
      <c r="W105" s="34" t="s">
        <v>225</v>
      </c>
      <c r="X105" s="34" t="s">
        <v>225</v>
      </c>
      <c r="Y105" s="34" t="s">
        <v>224</v>
      </c>
      <c r="Z105" s="34" t="s">
        <v>224</v>
      </c>
      <c r="AA105" s="34" t="s">
        <v>224</v>
      </c>
      <c r="AB105" s="34" t="s">
        <v>224</v>
      </c>
      <c r="AC105" s="34" t="s">
        <v>224</v>
      </c>
    </row>
    <row r="106" spans="1:29" x14ac:dyDescent="0.3">
      <c r="A106" s="12"/>
      <c r="B106" s="31" t="s">
        <v>207</v>
      </c>
      <c r="C106" s="31" t="s">
        <v>242</v>
      </c>
      <c r="D106" s="31" t="s">
        <v>380</v>
      </c>
      <c r="E106" s="31"/>
      <c r="F106" s="31"/>
      <c r="G106" s="31"/>
      <c r="H106" s="31"/>
      <c r="I106" s="31"/>
      <c r="J106" s="31"/>
      <c r="K106" s="31"/>
      <c r="L106" s="31"/>
      <c r="M106" s="31"/>
      <c r="N106" s="31"/>
      <c r="O106" s="31"/>
      <c r="P106" s="31"/>
      <c r="Q106" s="31"/>
      <c r="R106" s="31"/>
      <c r="S106" s="31"/>
      <c r="T106" s="31"/>
      <c r="U106" s="31"/>
      <c r="V106" s="33" t="s">
        <v>141</v>
      </c>
      <c r="W106" s="34" t="s">
        <v>141</v>
      </c>
      <c r="X106" s="34" t="s">
        <v>140</v>
      </c>
      <c r="Y106" s="34" t="s">
        <v>142</v>
      </c>
      <c r="Z106" s="34" t="s">
        <v>142</v>
      </c>
      <c r="AA106" s="34" t="s">
        <v>142</v>
      </c>
      <c r="AB106" s="34" t="s">
        <v>142</v>
      </c>
      <c r="AC106" s="34" t="s">
        <v>319</v>
      </c>
    </row>
    <row r="107" spans="1:29" x14ac:dyDescent="0.3">
      <c r="A107" s="14" t="s">
        <v>61</v>
      </c>
      <c r="B107" s="31" t="s">
        <v>381</v>
      </c>
      <c r="C107" s="31"/>
      <c r="D107" s="31"/>
      <c r="E107" s="31"/>
      <c r="F107" s="31"/>
      <c r="G107" s="31"/>
      <c r="H107" s="31"/>
      <c r="I107" s="31"/>
      <c r="J107" s="31"/>
      <c r="K107" s="31"/>
      <c r="L107" s="31"/>
      <c r="M107" s="31"/>
      <c r="N107" s="31"/>
      <c r="O107" s="31"/>
      <c r="P107" s="31"/>
      <c r="Q107" s="31"/>
      <c r="R107" s="31"/>
      <c r="S107" s="31"/>
      <c r="T107" s="31"/>
      <c r="U107" s="31"/>
      <c r="V107" s="33" t="s">
        <v>337</v>
      </c>
      <c r="W107" s="34" t="s">
        <v>338</v>
      </c>
      <c r="X107" s="34" t="s">
        <v>339</v>
      </c>
      <c r="Y107" s="34" t="s">
        <v>340</v>
      </c>
      <c r="Z107" s="34" t="s">
        <v>341</v>
      </c>
      <c r="AA107" s="34" t="s">
        <v>342</v>
      </c>
      <c r="AB107" s="34" t="s">
        <v>343</v>
      </c>
      <c r="AC107" s="34" t="s">
        <v>344</v>
      </c>
    </row>
    <row r="108" spans="1:29" ht="15" customHeight="1" x14ac:dyDescent="0.3">
      <c r="A108" s="14" t="s">
        <v>62</v>
      </c>
      <c r="B108" s="31" t="s">
        <v>382</v>
      </c>
      <c r="C108" s="31"/>
      <c r="D108" s="31"/>
      <c r="E108" s="31"/>
      <c r="F108" s="31"/>
      <c r="G108" s="31"/>
      <c r="H108" s="31"/>
      <c r="I108" s="31"/>
      <c r="J108" s="31"/>
      <c r="K108" s="31"/>
      <c r="L108" s="31"/>
      <c r="M108" s="31"/>
      <c r="N108" s="31"/>
      <c r="O108" s="31"/>
      <c r="P108" s="31"/>
      <c r="Q108" s="31"/>
      <c r="R108" s="31"/>
      <c r="S108" s="31"/>
      <c r="T108" s="31"/>
      <c r="U108" s="31"/>
      <c r="V108" s="33">
        <v>10</v>
      </c>
      <c r="W108" s="34">
        <v>3</v>
      </c>
      <c r="X108" s="34">
        <v>318</v>
      </c>
      <c r="Y108" s="34">
        <v>14</v>
      </c>
      <c r="Z108" s="34">
        <v>14</v>
      </c>
      <c r="AA108" s="34">
        <v>14</v>
      </c>
      <c r="AB108" s="34">
        <v>14</v>
      </c>
      <c r="AC108" s="34">
        <v>318</v>
      </c>
    </row>
    <row r="109" spans="1:29" x14ac:dyDescent="0.3">
      <c r="A109" s="14" t="s">
        <v>64</v>
      </c>
      <c r="B109" s="31" t="s">
        <v>65</v>
      </c>
      <c r="C109" s="31" t="s">
        <v>66</v>
      </c>
      <c r="D109" s="31"/>
      <c r="E109" s="31"/>
      <c r="F109" s="31"/>
      <c r="G109" s="31"/>
      <c r="H109" s="31"/>
      <c r="I109" s="31"/>
      <c r="J109" s="31"/>
      <c r="K109" s="31"/>
      <c r="L109" s="31"/>
      <c r="M109" s="31"/>
      <c r="N109" s="31"/>
      <c r="O109" s="31"/>
      <c r="P109" s="31"/>
      <c r="Q109" s="31"/>
      <c r="R109" s="31"/>
      <c r="S109" s="31"/>
      <c r="T109" s="31"/>
      <c r="U109" s="31"/>
      <c r="V109" s="33" t="s">
        <v>353</v>
      </c>
      <c r="W109" s="34" t="s">
        <v>354</v>
      </c>
      <c r="X109" s="34" t="s">
        <v>172</v>
      </c>
      <c r="Y109" s="34" t="s">
        <v>186</v>
      </c>
      <c r="Z109" s="34" t="s">
        <v>186</v>
      </c>
      <c r="AA109" s="34" t="s">
        <v>186</v>
      </c>
      <c r="AB109" s="34" t="s">
        <v>186</v>
      </c>
      <c r="AC109" s="34" t="s">
        <v>172</v>
      </c>
    </row>
    <row r="110" spans="1:29" x14ac:dyDescent="0.3">
      <c r="A110" s="14"/>
      <c r="B110" s="31">
        <v>63</v>
      </c>
      <c r="C110" s="31">
        <v>3</v>
      </c>
      <c r="D110" s="31"/>
      <c r="E110" s="31"/>
      <c r="F110" s="31"/>
      <c r="G110" s="31"/>
      <c r="H110" s="31"/>
      <c r="I110" s="31"/>
      <c r="J110" s="31"/>
      <c r="K110" s="31"/>
      <c r="L110" s="31"/>
      <c r="M110" s="31"/>
      <c r="N110" s="31"/>
      <c r="O110" s="31"/>
      <c r="P110" s="31"/>
      <c r="Q110" s="31"/>
      <c r="R110" s="31"/>
      <c r="S110" s="31"/>
      <c r="T110" s="31"/>
      <c r="U110" s="31"/>
      <c r="V110" s="33" t="s">
        <v>358</v>
      </c>
      <c r="W110" s="34" t="s">
        <v>189</v>
      </c>
      <c r="X110" s="34" t="s">
        <v>359</v>
      </c>
      <c r="Y110" s="34" t="s">
        <v>189</v>
      </c>
      <c r="Z110" s="34" t="s">
        <v>189</v>
      </c>
      <c r="AA110" s="34" t="s">
        <v>189</v>
      </c>
      <c r="AB110" s="34" t="s">
        <v>189</v>
      </c>
      <c r="AC110" s="34" t="s">
        <v>359</v>
      </c>
    </row>
    <row r="111" spans="1:29" x14ac:dyDescent="0.3">
      <c r="B111" s="31"/>
      <c r="C111" s="31"/>
      <c r="D111" s="31"/>
      <c r="E111" s="31"/>
      <c r="F111" s="31"/>
      <c r="G111" s="31"/>
      <c r="H111" s="31"/>
      <c r="I111" s="31"/>
      <c r="J111" s="31"/>
      <c r="K111" s="31"/>
      <c r="L111" s="31"/>
      <c r="M111" s="31"/>
      <c r="N111" s="31"/>
      <c r="O111" s="31"/>
      <c r="P111" s="31"/>
      <c r="Q111" s="31"/>
      <c r="R111" s="31"/>
      <c r="S111" s="31"/>
      <c r="T111" s="31"/>
      <c r="U111" s="31"/>
      <c r="V111" s="33" t="s">
        <v>374</v>
      </c>
      <c r="W111" s="34" t="s">
        <v>194</v>
      </c>
      <c r="X111" s="34" t="s">
        <v>375</v>
      </c>
      <c r="Y111" s="34" t="s">
        <v>194</v>
      </c>
      <c r="Z111" s="34" t="s">
        <v>194</v>
      </c>
      <c r="AA111" s="34" t="s">
        <v>194</v>
      </c>
      <c r="AB111" s="34" t="s">
        <v>376</v>
      </c>
      <c r="AC111" s="34" t="s">
        <v>377</v>
      </c>
    </row>
    <row r="112" spans="1:29" x14ac:dyDescent="0.3">
      <c r="A112" s="18" t="s">
        <v>67</v>
      </c>
      <c r="B112" s="31" t="s">
        <v>383</v>
      </c>
      <c r="C112" s="31" t="s">
        <v>272</v>
      </c>
      <c r="D112" s="31" t="s">
        <v>262</v>
      </c>
      <c r="E112" s="31"/>
      <c r="F112" s="31"/>
      <c r="G112" s="31"/>
      <c r="H112" s="31"/>
      <c r="I112" s="31"/>
      <c r="J112" s="31"/>
      <c r="K112" s="31"/>
      <c r="L112" s="31"/>
      <c r="M112" s="31"/>
      <c r="N112" s="31"/>
      <c r="O112" s="31"/>
      <c r="P112" s="31"/>
      <c r="Q112" s="31"/>
      <c r="R112" s="31"/>
      <c r="S112" s="31"/>
      <c r="T112" s="31"/>
      <c r="U112" s="31"/>
    </row>
    <row r="113" spans="1:21" ht="28.8" x14ac:dyDescent="0.3">
      <c r="A113" s="18" t="s">
        <v>100</v>
      </c>
      <c r="B113" s="31" t="s">
        <v>384</v>
      </c>
      <c r="C113" s="31" t="s">
        <v>385</v>
      </c>
      <c r="D113" s="31" t="s">
        <v>386</v>
      </c>
      <c r="E113" s="31"/>
      <c r="F113" s="31"/>
      <c r="G113" s="31"/>
      <c r="H113" s="31"/>
      <c r="I113" s="31"/>
      <c r="J113" s="31"/>
      <c r="K113" s="31"/>
      <c r="L113" s="31"/>
      <c r="M113" s="31"/>
      <c r="N113" s="31"/>
      <c r="O113" s="31"/>
      <c r="P113" s="31"/>
      <c r="Q113" s="31"/>
      <c r="R113" s="31"/>
      <c r="S113" s="31"/>
      <c r="T113" s="31"/>
      <c r="U113" s="31"/>
    </row>
    <row r="114" spans="1:21" x14ac:dyDescent="0.3">
      <c r="A114" s="18" t="s">
        <v>133</v>
      </c>
      <c r="B114" s="31" t="s">
        <v>224</v>
      </c>
      <c r="C114" s="31" t="s">
        <v>225</v>
      </c>
      <c r="D114" s="31" t="s">
        <v>225</v>
      </c>
      <c r="E114" s="31"/>
      <c r="F114" s="31"/>
      <c r="G114" s="31"/>
      <c r="H114" s="31"/>
      <c r="I114" s="31"/>
      <c r="J114" s="31"/>
      <c r="K114" s="31"/>
      <c r="L114" s="31"/>
      <c r="M114" s="31"/>
      <c r="N114" s="31"/>
      <c r="O114" s="31"/>
      <c r="P114" s="31"/>
      <c r="Q114" s="31"/>
      <c r="R114" s="31"/>
      <c r="S114" s="31"/>
      <c r="T114" s="31"/>
      <c r="U114" s="31"/>
    </row>
    <row r="115" spans="1:21" x14ac:dyDescent="0.3">
      <c r="A115" s="18" t="s">
        <v>137</v>
      </c>
      <c r="B115" s="31" t="s">
        <v>227</v>
      </c>
      <c r="C115" s="31" t="s">
        <v>141</v>
      </c>
      <c r="D115" s="31" t="s">
        <v>141</v>
      </c>
      <c r="E115" s="31"/>
      <c r="F115" s="31"/>
      <c r="G115" s="31"/>
      <c r="H115" s="31"/>
      <c r="I115" s="31"/>
      <c r="J115" s="31"/>
      <c r="K115" s="31"/>
      <c r="L115" s="31"/>
      <c r="M115" s="31"/>
      <c r="N115" s="31"/>
      <c r="O115" s="31"/>
      <c r="P115" s="31"/>
      <c r="Q115" s="31"/>
      <c r="R115" s="31"/>
      <c r="S115" s="31"/>
      <c r="T115" s="31"/>
      <c r="U115" s="31"/>
    </row>
    <row r="116" spans="1:21" ht="57.6" x14ac:dyDescent="0.3">
      <c r="A116" s="21" t="s">
        <v>144</v>
      </c>
      <c r="B116" s="31" t="s">
        <v>164</v>
      </c>
      <c r="C116" s="31" t="s">
        <v>330</v>
      </c>
      <c r="D116" s="31" t="s">
        <v>322</v>
      </c>
      <c r="E116" s="31"/>
      <c r="F116" s="31"/>
      <c r="G116" s="31"/>
      <c r="H116" s="31"/>
      <c r="I116" s="31"/>
      <c r="J116" s="31"/>
      <c r="K116" s="31"/>
      <c r="L116" s="31"/>
      <c r="M116" s="31"/>
      <c r="N116" s="31"/>
      <c r="O116" s="31"/>
      <c r="P116" s="31"/>
      <c r="Q116" s="31"/>
      <c r="R116" s="31"/>
      <c r="S116" s="31"/>
      <c r="T116" s="31"/>
      <c r="U116" s="31"/>
    </row>
    <row r="117" spans="1:21" x14ac:dyDescent="0.3">
      <c r="A117" s="21" t="s">
        <v>169</v>
      </c>
      <c r="B117" s="31">
        <v>63</v>
      </c>
      <c r="C117" s="31">
        <v>59</v>
      </c>
      <c r="D117" s="31">
        <v>37</v>
      </c>
      <c r="E117" s="31"/>
      <c r="F117" s="31"/>
      <c r="G117" s="31"/>
      <c r="H117" s="31"/>
      <c r="I117" s="31"/>
      <c r="J117" s="31"/>
      <c r="K117" s="31"/>
      <c r="L117" s="31"/>
      <c r="M117" s="31"/>
      <c r="N117" s="31"/>
      <c r="O117" s="31"/>
      <c r="P117" s="31"/>
      <c r="Q117" s="31"/>
      <c r="R117" s="31"/>
      <c r="S117" s="31"/>
      <c r="T117" s="31"/>
      <c r="U117" s="31"/>
    </row>
    <row r="118" spans="1:21" x14ac:dyDescent="0.3">
      <c r="A118" s="21" t="s">
        <v>170</v>
      </c>
      <c r="B118" s="31" t="s">
        <v>172</v>
      </c>
      <c r="C118" s="31" t="s">
        <v>172</v>
      </c>
      <c r="D118" s="31" t="s">
        <v>172</v>
      </c>
      <c r="E118" s="31"/>
      <c r="F118" s="31"/>
      <c r="G118" s="31"/>
      <c r="H118" s="31"/>
      <c r="I118" s="31"/>
      <c r="J118" s="31"/>
      <c r="K118" s="31"/>
      <c r="L118" s="31"/>
      <c r="M118" s="31"/>
      <c r="N118" s="31"/>
      <c r="O118" s="31"/>
      <c r="P118" s="31"/>
      <c r="Q118" s="31"/>
      <c r="R118" s="31"/>
      <c r="S118" s="31"/>
      <c r="T118" s="31"/>
      <c r="U118" s="31"/>
    </row>
    <row r="119" spans="1:21" x14ac:dyDescent="0.3">
      <c r="A119" s="21" t="s">
        <v>188</v>
      </c>
      <c r="B119" s="31" t="s">
        <v>189</v>
      </c>
      <c r="C119" s="31" t="s">
        <v>189</v>
      </c>
      <c r="D119" s="31" t="s">
        <v>387</v>
      </c>
      <c r="E119" s="31"/>
      <c r="F119" s="31"/>
      <c r="G119" s="31"/>
      <c r="H119" s="31"/>
      <c r="I119" s="31"/>
      <c r="J119" s="31"/>
      <c r="K119" s="31"/>
      <c r="L119" s="31"/>
      <c r="M119" s="31"/>
      <c r="N119" s="31"/>
      <c r="O119" s="31"/>
      <c r="P119" s="31"/>
      <c r="Q119" s="31"/>
      <c r="R119" s="31"/>
      <c r="S119" s="31"/>
      <c r="T119" s="31"/>
      <c r="U119" s="31"/>
    </row>
    <row r="120" spans="1:21" ht="129.6" x14ac:dyDescent="0.3">
      <c r="A120" s="21" t="s">
        <v>193</v>
      </c>
      <c r="B120" s="31" t="s">
        <v>194</v>
      </c>
      <c r="C120" s="31" t="s">
        <v>388</v>
      </c>
      <c r="D120" s="31" t="s">
        <v>389</v>
      </c>
      <c r="E120" s="31"/>
      <c r="F120" s="31"/>
      <c r="G120" s="31"/>
      <c r="H120" s="31"/>
      <c r="I120" s="31"/>
      <c r="J120" s="31"/>
      <c r="K120" s="31"/>
      <c r="L120" s="31"/>
      <c r="M120" s="31"/>
      <c r="N120" s="31"/>
      <c r="O120" s="31"/>
      <c r="P120" s="31"/>
      <c r="Q120" s="31"/>
      <c r="R120" s="31"/>
      <c r="S120" s="31"/>
      <c r="T120" s="31"/>
      <c r="U120" s="31"/>
    </row>
    <row r="127" spans="1:21" x14ac:dyDescent="0.3">
      <c r="A127" s="12"/>
      <c r="B127" s="36"/>
      <c r="C127" s="37"/>
      <c r="D127" s="37"/>
      <c r="E127" s="37"/>
      <c r="F127" s="37"/>
      <c r="G127" s="37"/>
      <c r="H127" s="37"/>
      <c r="I127" s="37"/>
      <c r="J127" s="37"/>
      <c r="K127" s="37"/>
      <c r="L127" s="37"/>
      <c r="M127" s="37"/>
      <c r="N127" s="37"/>
      <c r="O127" s="37"/>
      <c r="P127" s="37"/>
      <c r="Q127" s="37"/>
      <c r="R127" s="37"/>
      <c r="S127" s="37"/>
      <c r="T127" s="37"/>
      <c r="U127" s="38"/>
    </row>
    <row r="128" spans="1:21" x14ac:dyDescent="0.3">
      <c r="A128" s="12"/>
      <c r="B128" s="33"/>
      <c r="C128" s="34"/>
      <c r="D128" s="34"/>
      <c r="E128" s="34"/>
      <c r="F128" s="34"/>
      <c r="G128" s="34"/>
      <c r="H128" s="34"/>
      <c r="I128" s="34"/>
      <c r="J128" s="34"/>
      <c r="K128" s="34"/>
      <c r="L128" s="34"/>
      <c r="M128" s="34"/>
      <c r="N128" s="34"/>
      <c r="O128" s="34"/>
      <c r="P128" s="34"/>
      <c r="Q128" s="34"/>
      <c r="R128" s="34"/>
      <c r="S128" s="34"/>
      <c r="T128" s="34"/>
      <c r="U128" s="35"/>
    </row>
    <row r="129" spans="1:21" x14ac:dyDescent="0.3">
      <c r="A129" s="12"/>
      <c r="B129" s="30"/>
      <c r="C129" s="30"/>
      <c r="D129" s="39"/>
      <c r="E129" s="40"/>
      <c r="F129" s="40"/>
      <c r="G129" s="40"/>
      <c r="H129" s="40"/>
      <c r="I129" s="40"/>
      <c r="J129" s="40"/>
      <c r="K129" s="40"/>
      <c r="L129" s="40"/>
      <c r="M129" s="40"/>
      <c r="N129" s="40"/>
      <c r="O129" s="40"/>
      <c r="P129" s="40"/>
      <c r="Q129" s="40"/>
      <c r="R129" s="40"/>
      <c r="S129" s="40"/>
      <c r="T129" s="40"/>
      <c r="U129" s="41"/>
    </row>
    <row r="130" spans="1:21" x14ac:dyDescent="0.3">
      <c r="A130" s="12"/>
      <c r="B130" s="13"/>
      <c r="C130" s="13"/>
      <c r="D130" s="42"/>
      <c r="E130" s="43"/>
      <c r="F130" s="43"/>
      <c r="G130" s="43"/>
      <c r="H130" s="43"/>
      <c r="I130" s="43"/>
      <c r="J130" s="43"/>
      <c r="K130" s="43"/>
      <c r="L130" s="43"/>
      <c r="M130" s="43"/>
      <c r="N130" s="43"/>
      <c r="O130" s="43"/>
      <c r="P130" s="43"/>
      <c r="Q130" s="43"/>
      <c r="R130" s="43"/>
      <c r="S130" s="43"/>
      <c r="T130" s="43"/>
      <c r="U130" s="44"/>
    </row>
    <row r="131" spans="1:21" x14ac:dyDescent="0.3">
      <c r="A131" s="14"/>
      <c r="B131" s="36"/>
      <c r="C131" s="37"/>
      <c r="D131" s="37"/>
      <c r="E131" s="37"/>
      <c r="F131" s="37"/>
      <c r="G131" s="37"/>
      <c r="H131" s="37"/>
      <c r="I131" s="37"/>
      <c r="J131" s="37"/>
      <c r="K131" s="37"/>
      <c r="L131" s="37"/>
      <c r="M131" s="37"/>
      <c r="N131" s="37"/>
      <c r="O131" s="37"/>
      <c r="P131" s="37"/>
      <c r="Q131" s="37"/>
      <c r="R131" s="37"/>
      <c r="S131" s="37"/>
      <c r="T131" s="37"/>
      <c r="U131" s="38"/>
    </row>
    <row r="132" spans="1:21" x14ac:dyDescent="0.3">
      <c r="A132" s="14"/>
      <c r="B132" s="33"/>
      <c r="C132" s="34"/>
      <c r="D132" s="34"/>
      <c r="E132" s="34"/>
      <c r="F132" s="34"/>
      <c r="G132" s="34"/>
      <c r="H132" s="34"/>
      <c r="I132" s="34"/>
      <c r="J132" s="34"/>
      <c r="K132" s="34"/>
      <c r="L132" s="34"/>
      <c r="M132" s="34"/>
      <c r="N132" s="34"/>
      <c r="O132" s="34"/>
      <c r="P132" s="34"/>
      <c r="Q132" s="34"/>
      <c r="R132" s="34"/>
      <c r="S132" s="34"/>
      <c r="T132" s="34"/>
      <c r="U132" s="35"/>
    </row>
    <row r="133" spans="1:21" x14ac:dyDescent="0.3">
      <c r="A133" s="14"/>
      <c r="B133" s="30"/>
      <c r="C133" s="30"/>
      <c r="D133" s="15"/>
      <c r="E133" s="15"/>
      <c r="F133" s="15"/>
      <c r="G133" s="15"/>
      <c r="H133" s="15"/>
      <c r="I133" s="15"/>
      <c r="J133" s="15"/>
      <c r="K133" s="15"/>
      <c r="L133" s="15"/>
      <c r="M133" s="15"/>
      <c r="N133" s="15"/>
      <c r="O133" s="15"/>
      <c r="P133" s="15"/>
      <c r="Q133" s="15"/>
      <c r="R133" s="15"/>
      <c r="S133" s="15"/>
      <c r="T133" s="15"/>
      <c r="U133" s="15"/>
    </row>
    <row r="134" spans="1:21" x14ac:dyDescent="0.3">
      <c r="A134" s="14"/>
      <c r="B134" s="16"/>
      <c r="C134" s="16"/>
      <c r="D134" s="17"/>
      <c r="E134" s="17"/>
      <c r="F134" s="17"/>
      <c r="G134" s="17"/>
      <c r="H134" s="17"/>
      <c r="I134" s="17"/>
      <c r="J134" s="17"/>
      <c r="K134" s="17"/>
      <c r="L134" s="17"/>
      <c r="M134" s="17"/>
      <c r="N134" s="17"/>
      <c r="O134" s="17"/>
      <c r="P134" s="17"/>
      <c r="Q134" s="17"/>
      <c r="R134" s="17"/>
      <c r="S134" s="17"/>
      <c r="T134" s="17"/>
      <c r="U134" s="17"/>
    </row>
    <row r="136" spans="1:21" x14ac:dyDescent="0.3">
      <c r="A136" s="18"/>
      <c r="B136" s="29"/>
      <c r="C136" s="19"/>
      <c r="D136" s="19"/>
      <c r="E136" s="19"/>
      <c r="F136" s="19"/>
      <c r="G136" s="19"/>
      <c r="H136" s="19"/>
      <c r="I136" s="19"/>
      <c r="J136" s="19"/>
      <c r="K136" s="19"/>
      <c r="L136" s="19"/>
      <c r="M136" s="19"/>
      <c r="N136" s="19"/>
      <c r="O136" s="19"/>
      <c r="P136" s="19"/>
      <c r="Q136" s="19"/>
      <c r="R136" s="19"/>
      <c r="S136" s="19"/>
      <c r="T136" s="19"/>
      <c r="U136" s="19"/>
    </row>
    <row r="137" spans="1:21" x14ac:dyDescent="0.3">
      <c r="A137" s="18"/>
      <c r="B137" s="20"/>
      <c r="C137" s="20"/>
      <c r="D137" s="20"/>
      <c r="E137" s="20"/>
      <c r="F137" s="20"/>
      <c r="G137" s="20"/>
      <c r="H137" s="20"/>
      <c r="I137" s="20"/>
      <c r="J137" s="20"/>
      <c r="K137" s="20"/>
      <c r="L137" s="20"/>
      <c r="M137" s="20"/>
      <c r="N137" s="20"/>
      <c r="O137" s="20"/>
      <c r="P137" s="20"/>
      <c r="Q137" s="20"/>
      <c r="R137" s="20"/>
      <c r="S137" s="20"/>
      <c r="T137" s="20"/>
      <c r="U137" s="20"/>
    </row>
    <row r="138" spans="1:21" x14ac:dyDescent="0.3">
      <c r="A138" s="18"/>
      <c r="B138" s="20"/>
      <c r="C138" s="20"/>
      <c r="D138" s="20"/>
      <c r="E138" s="20"/>
      <c r="F138" s="20"/>
      <c r="G138" s="20"/>
      <c r="H138" s="20"/>
      <c r="I138" s="20"/>
      <c r="J138" s="20"/>
      <c r="K138" s="20"/>
      <c r="L138" s="20"/>
      <c r="M138" s="20"/>
      <c r="N138" s="20"/>
      <c r="O138" s="20"/>
      <c r="P138" s="20"/>
      <c r="Q138" s="20"/>
      <c r="R138" s="20"/>
      <c r="S138" s="20"/>
      <c r="T138" s="20"/>
      <c r="U138" s="20"/>
    </row>
    <row r="139" spans="1:21" x14ac:dyDescent="0.3">
      <c r="A139" s="18"/>
      <c r="B139" s="20"/>
      <c r="C139" s="20"/>
      <c r="D139" s="20"/>
      <c r="E139" s="20"/>
      <c r="F139" s="20"/>
      <c r="G139" s="20"/>
      <c r="H139" s="20"/>
      <c r="I139" s="20"/>
      <c r="J139" s="20"/>
      <c r="K139" s="20"/>
      <c r="L139" s="20"/>
      <c r="M139" s="20"/>
      <c r="N139" s="20"/>
      <c r="O139" s="20"/>
      <c r="P139" s="20"/>
      <c r="Q139" s="20"/>
      <c r="R139" s="20"/>
      <c r="S139" s="20"/>
      <c r="T139" s="20"/>
      <c r="U139" s="20"/>
    </row>
    <row r="140" spans="1:21" x14ac:dyDescent="0.3">
      <c r="A140" s="21"/>
      <c r="B140" s="20"/>
      <c r="C140" s="20"/>
      <c r="D140" s="20"/>
      <c r="E140" s="20"/>
      <c r="F140" s="20"/>
      <c r="G140" s="20"/>
      <c r="H140" s="20"/>
      <c r="I140" s="20"/>
      <c r="J140" s="20"/>
      <c r="K140" s="20"/>
      <c r="L140" s="20"/>
      <c r="M140" s="20"/>
      <c r="N140" s="20"/>
      <c r="O140" s="20"/>
      <c r="P140" s="20"/>
      <c r="Q140" s="20"/>
      <c r="R140" s="20"/>
      <c r="S140" s="20"/>
      <c r="T140" s="20"/>
      <c r="U140" s="20"/>
    </row>
    <row r="141" spans="1:21" x14ac:dyDescent="0.3">
      <c r="A141" s="21"/>
      <c r="B141" s="22"/>
      <c r="C141" s="22"/>
      <c r="D141" s="22"/>
      <c r="E141" s="22"/>
      <c r="F141" s="22"/>
      <c r="G141" s="22"/>
      <c r="H141" s="22"/>
      <c r="I141" s="22"/>
      <c r="J141" s="22"/>
      <c r="K141" s="22"/>
      <c r="L141" s="22"/>
      <c r="M141" s="22"/>
      <c r="N141" s="22"/>
      <c r="O141" s="22"/>
      <c r="P141" s="22"/>
      <c r="Q141" s="22"/>
      <c r="R141" s="22"/>
      <c r="S141" s="22"/>
      <c r="T141" s="22"/>
      <c r="U141" s="22"/>
    </row>
    <row r="142" spans="1:21" x14ac:dyDescent="0.3">
      <c r="A142" s="21"/>
      <c r="B142" s="20"/>
      <c r="C142" s="20"/>
      <c r="D142" s="20"/>
      <c r="E142" s="20"/>
      <c r="F142" s="20"/>
      <c r="G142" s="20"/>
      <c r="H142" s="20"/>
      <c r="I142" s="20"/>
      <c r="J142" s="20"/>
      <c r="K142" s="20"/>
      <c r="L142" s="20"/>
      <c r="M142" s="20"/>
      <c r="N142" s="20"/>
      <c r="O142" s="20"/>
      <c r="P142" s="20"/>
      <c r="Q142" s="20"/>
      <c r="R142" s="20"/>
      <c r="S142" s="20"/>
      <c r="T142" s="20"/>
      <c r="U142" s="20"/>
    </row>
    <row r="143" spans="1:21" x14ac:dyDescent="0.3">
      <c r="A143" s="21"/>
      <c r="B143" s="20"/>
      <c r="C143" s="20"/>
      <c r="D143" s="20"/>
      <c r="E143" s="20"/>
      <c r="F143" s="20"/>
      <c r="G143" s="20"/>
      <c r="H143" s="20"/>
      <c r="I143" s="20"/>
      <c r="J143" s="20"/>
      <c r="K143" s="20"/>
      <c r="L143" s="20"/>
      <c r="M143" s="20"/>
      <c r="N143" s="20"/>
      <c r="O143" s="20"/>
      <c r="P143" s="20"/>
      <c r="Q143" s="20"/>
      <c r="R143" s="20"/>
      <c r="S143" s="20"/>
      <c r="T143" s="20"/>
      <c r="U143" s="20"/>
    </row>
    <row r="144" spans="1:21" x14ac:dyDescent="0.3">
      <c r="A144" s="21"/>
      <c r="B144" s="20"/>
      <c r="C144" s="20"/>
      <c r="D144" s="20"/>
      <c r="E144" s="20"/>
      <c r="F144" s="20"/>
      <c r="G144" s="20"/>
      <c r="H144" s="20"/>
      <c r="I144" s="20"/>
      <c r="J144" s="20"/>
      <c r="K144" s="20"/>
      <c r="L144" s="20"/>
      <c r="M144" s="20"/>
      <c r="N144" s="20"/>
      <c r="O144" s="20"/>
      <c r="P144" s="20"/>
      <c r="Q144" s="20"/>
      <c r="R144" s="20"/>
      <c r="S144" s="20"/>
      <c r="T144" s="20"/>
      <c r="U144" s="20"/>
    </row>
  </sheetData>
  <mergeCells count="23">
    <mergeCell ref="D7:U7"/>
    <mergeCell ref="B8:U8"/>
    <mergeCell ref="B9:U9"/>
    <mergeCell ref="A1:U1"/>
    <mergeCell ref="A2:U2"/>
    <mergeCell ref="B4:U4"/>
    <mergeCell ref="B5:U5"/>
    <mergeCell ref="D6:U6"/>
    <mergeCell ref="B132:U132"/>
    <mergeCell ref="V103:AC103"/>
    <mergeCell ref="V104:AC104"/>
    <mergeCell ref="V105:AC105"/>
    <mergeCell ref="V106:AC106"/>
    <mergeCell ref="V107:AC107"/>
    <mergeCell ref="V108:AC108"/>
    <mergeCell ref="V109:AC109"/>
    <mergeCell ref="V110:AC110"/>
    <mergeCell ref="V111:AC111"/>
    <mergeCell ref="B127:U127"/>
    <mergeCell ref="B128:U128"/>
    <mergeCell ref="D129:U129"/>
    <mergeCell ref="D130:U130"/>
    <mergeCell ref="B131:U131"/>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47" t="s">
        <v>10</v>
      </c>
      <c r="B1" s="47"/>
      <c r="C1" s="47"/>
      <c r="D1" s="47"/>
      <c r="E1" s="47"/>
      <c r="F1" s="47"/>
    </row>
    <row r="2" spans="1:6" x14ac:dyDescent="0.3">
      <c r="A2" s="48" t="s">
        <v>390</v>
      </c>
      <c r="B2" s="48"/>
      <c r="C2" s="48"/>
      <c r="D2" s="48"/>
      <c r="E2" s="48"/>
      <c r="F2" s="48"/>
    </row>
    <row r="4" spans="1:6" ht="27.6" x14ac:dyDescent="0.3">
      <c r="A4" s="24" t="s">
        <v>391</v>
      </c>
      <c r="B4" s="24" t="s">
        <v>392</v>
      </c>
      <c r="C4" s="24" t="s">
        <v>393</v>
      </c>
      <c r="D4" s="24" t="s">
        <v>394</v>
      </c>
      <c r="E4" s="24" t="s">
        <v>395</v>
      </c>
      <c r="F4" s="24" t="s">
        <v>396</v>
      </c>
    </row>
    <row r="5" spans="1:6" ht="26.4" x14ac:dyDescent="0.3">
      <c r="A5" s="20" t="s">
        <v>397</v>
      </c>
      <c r="B5" s="20" t="s">
        <v>398</v>
      </c>
      <c r="C5" s="20" t="s">
        <v>399</v>
      </c>
      <c r="D5" s="20" t="s">
        <v>398</v>
      </c>
      <c r="E5" s="20" t="s">
        <v>400</v>
      </c>
      <c r="F5" s="20" t="s">
        <v>401</v>
      </c>
    </row>
    <row r="6" spans="1:6" x14ac:dyDescent="0.3">
      <c r="A6" s="23"/>
      <c r="B6" s="23"/>
      <c r="C6" s="23"/>
      <c r="D6" s="23"/>
      <c r="E6" s="23"/>
      <c r="F6" s="23"/>
    </row>
    <row r="7" spans="1:6" x14ac:dyDescent="0.3">
      <c r="A7" s="23"/>
      <c r="B7" s="23"/>
      <c r="C7" s="23"/>
      <c r="D7" s="23"/>
      <c r="E7" s="23"/>
      <c r="F7" s="23"/>
    </row>
    <row r="8" spans="1:6" x14ac:dyDescent="0.3">
      <c r="A8" s="23"/>
      <c r="B8" s="23"/>
      <c r="C8" s="23"/>
      <c r="D8" s="23"/>
      <c r="E8" s="23"/>
      <c r="F8" s="23"/>
    </row>
    <row r="9" spans="1:6" x14ac:dyDescent="0.3">
      <c r="A9" s="23"/>
      <c r="B9" s="23"/>
      <c r="C9" s="23"/>
      <c r="D9" s="23"/>
      <c r="E9" s="23"/>
      <c r="F9" s="23"/>
    </row>
    <row r="10" spans="1:6" x14ac:dyDescent="0.3">
      <c r="A10" s="23"/>
      <c r="B10" s="23"/>
      <c r="C10" s="23"/>
      <c r="D10" s="23"/>
      <c r="E10" s="23"/>
      <c r="F10" s="23"/>
    </row>
    <row r="11" spans="1:6" x14ac:dyDescent="0.3">
      <c r="A11" s="23"/>
      <c r="B11" s="23"/>
      <c r="C11" s="23"/>
      <c r="D11" s="23"/>
      <c r="E11" s="23"/>
      <c r="F11" s="23"/>
    </row>
    <row r="12" spans="1:6" x14ac:dyDescent="0.3">
      <c r="A12" s="23"/>
      <c r="B12" s="23"/>
      <c r="C12" s="23"/>
      <c r="D12" s="23"/>
      <c r="E12" s="23"/>
      <c r="F12" s="23"/>
    </row>
    <row r="13" spans="1:6" x14ac:dyDescent="0.3">
      <c r="A13" s="23"/>
      <c r="B13" s="23"/>
      <c r="C13" s="23"/>
      <c r="D13" s="23"/>
      <c r="E13" s="23"/>
      <c r="F13" s="23"/>
    </row>
    <row r="14" spans="1:6" x14ac:dyDescent="0.3">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47" t="s">
        <v>12</v>
      </c>
      <c r="B1" s="47"/>
      <c r="C1" s="47"/>
      <c r="D1" s="47"/>
      <c r="E1" s="47"/>
      <c r="F1" s="47"/>
    </row>
    <row r="2" spans="1:6" x14ac:dyDescent="0.3">
      <c r="A2" s="48" t="s">
        <v>402</v>
      </c>
      <c r="B2" s="48"/>
      <c r="C2" s="48"/>
      <c r="D2" s="48"/>
      <c r="E2" s="48"/>
      <c r="F2" s="48"/>
    </row>
    <row r="4" spans="1:6" ht="27.6" x14ac:dyDescent="0.3">
      <c r="A4" s="24" t="s">
        <v>403</v>
      </c>
      <c r="B4" s="24" t="s">
        <v>404</v>
      </c>
      <c r="C4" s="24" t="s">
        <v>405</v>
      </c>
      <c r="D4" s="24" t="s">
        <v>406</v>
      </c>
      <c r="E4" s="24" t="s">
        <v>407</v>
      </c>
      <c r="F4" s="24" t="s">
        <v>408</v>
      </c>
    </row>
    <row r="5" spans="1:6" ht="39.6" x14ac:dyDescent="0.3">
      <c r="A5" s="20">
        <v>1</v>
      </c>
      <c r="B5" s="20" t="s">
        <v>409</v>
      </c>
      <c r="C5" s="20" t="s">
        <v>410</v>
      </c>
      <c r="D5" s="20" t="s">
        <v>411</v>
      </c>
      <c r="E5" s="20" t="s">
        <v>412</v>
      </c>
      <c r="F5" s="20" t="s">
        <v>413</v>
      </c>
    </row>
    <row r="6" spans="1:6" x14ac:dyDescent="0.3">
      <c r="A6" s="23">
        <f t="shared" ref="A6:A20" si="0">ROW()-5</f>
        <v>1</v>
      </c>
      <c r="B6" s="23"/>
      <c r="C6" s="23"/>
      <c r="D6" s="23"/>
      <c r="E6" s="23"/>
      <c r="F6" s="23"/>
    </row>
    <row r="7" spans="1:6" x14ac:dyDescent="0.3">
      <c r="A7" s="23">
        <f t="shared" si="0"/>
        <v>2</v>
      </c>
      <c r="B7" s="23"/>
      <c r="C7" s="23"/>
      <c r="D7" s="23"/>
      <c r="E7" s="23"/>
      <c r="F7" s="23"/>
    </row>
    <row r="8" spans="1:6" x14ac:dyDescent="0.3">
      <c r="A8" s="23">
        <f t="shared" si="0"/>
        <v>3</v>
      </c>
      <c r="B8" s="23"/>
      <c r="C8" s="23"/>
      <c r="D8" s="23"/>
      <c r="E8" s="23"/>
      <c r="F8" s="23"/>
    </row>
    <row r="9" spans="1:6" x14ac:dyDescent="0.3">
      <c r="A9" s="23">
        <f t="shared" si="0"/>
        <v>4</v>
      </c>
      <c r="B9" s="23"/>
      <c r="C9" s="23"/>
      <c r="D9" s="23"/>
      <c r="E9" s="23"/>
      <c r="F9" s="23"/>
    </row>
    <row r="10" spans="1:6" x14ac:dyDescent="0.3">
      <c r="A10" s="23">
        <f t="shared" si="0"/>
        <v>5</v>
      </c>
      <c r="B10" s="23"/>
      <c r="C10" s="23"/>
      <c r="D10" s="23"/>
      <c r="E10" s="23"/>
      <c r="F10" s="23"/>
    </row>
    <row r="11" spans="1:6" x14ac:dyDescent="0.3">
      <c r="A11" s="23">
        <f t="shared" si="0"/>
        <v>6</v>
      </c>
      <c r="B11" s="23"/>
      <c r="C11" s="23"/>
      <c r="D11" s="23"/>
      <c r="E11" s="23"/>
      <c r="F11" s="23"/>
    </row>
    <row r="12" spans="1:6" x14ac:dyDescent="0.3">
      <c r="A12" s="23">
        <f t="shared" si="0"/>
        <v>7</v>
      </c>
      <c r="B12" s="23"/>
      <c r="C12" s="23"/>
      <c r="D12" s="23"/>
      <c r="E12" s="23"/>
      <c r="F12" s="23"/>
    </row>
    <row r="13" spans="1:6" x14ac:dyDescent="0.3">
      <c r="A13" s="23">
        <f t="shared" si="0"/>
        <v>8</v>
      </c>
      <c r="B13" s="23"/>
      <c r="C13" s="23"/>
      <c r="D13" s="23"/>
      <c r="E13" s="23"/>
      <c r="F13" s="23"/>
    </row>
    <row r="14" spans="1:6" x14ac:dyDescent="0.3">
      <c r="A14" s="23">
        <f t="shared" si="0"/>
        <v>9</v>
      </c>
      <c r="B14" s="23"/>
      <c r="C14" s="23"/>
      <c r="D14" s="23"/>
      <c r="E14" s="23"/>
      <c r="F14" s="23"/>
    </row>
    <row r="15" spans="1:6" x14ac:dyDescent="0.3">
      <c r="A15" s="23">
        <f t="shared" si="0"/>
        <v>10</v>
      </c>
      <c r="B15" s="23"/>
      <c r="C15" s="23"/>
      <c r="D15" s="23"/>
      <c r="E15" s="23"/>
      <c r="F15" s="23"/>
    </row>
    <row r="16" spans="1:6" x14ac:dyDescent="0.3">
      <c r="A16" s="23">
        <f t="shared" si="0"/>
        <v>11</v>
      </c>
      <c r="B16" s="23"/>
      <c r="C16" s="23"/>
      <c r="D16" s="23"/>
      <c r="E16" s="23"/>
      <c r="F16" s="23"/>
    </row>
    <row r="17" spans="1:6" x14ac:dyDescent="0.3">
      <c r="A17" s="23">
        <f t="shared" si="0"/>
        <v>12</v>
      </c>
      <c r="B17" s="23"/>
      <c r="C17" s="23"/>
      <c r="D17" s="23"/>
      <c r="E17" s="23"/>
      <c r="F17" s="23"/>
    </row>
    <row r="18" spans="1:6" x14ac:dyDescent="0.3">
      <c r="A18" s="23">
        <f t="shared" si="0"/>
        <v>13</v>
      </c>
      <c r="B18" s="23"/>
      <c r="C18" s="23"/>
      <c r="D18" s="23"/>
      <c r="E18" s="23"/>
      <c r="F18" s="23"/>
    </row>
    <row r="19" spans="1:6" x14ac:dyDescent="0.3">
      <c r="A19" s="23">
        <f t="shared" si="0"/>
        <v>14</v>
      </c>
      <c r="B19" s="23"/>
      <c r="C19" s="23"/>
      <c r="D19" s="23"/>
      <c r="E19" s="23"/>
      <c r="F19" s="23"/>
    </row>
    <row r="20" spans="1:6" x14ac:dyDescent="0.3">
      <c r="A20" s="23">
        <f t="shared" si="0"/>
        <v>15</v>
      </c>
      <c r="B20" s="23"/>
      <c r="C20" s="23"/>
      <c r="D20" s="23"/>
      <c r="E20" s="23"/>
      <c r="F20" s="23"/>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1" t="s">
        <v>14</v>
      </c>
    </row>
    <row r="3" spans="2:3" ht="27.75" customHeight="1" x14ac:dyDescent="0.3">
      <c r="B3" s="2" t="s">
        <v>414</v>
      </c>
    </row>
    <row r="5" spans="2:3" x14ac:dyDescent="0.3">
      <c r="B5" s="25" t="s">
        <v>415</v>
      </c>
      <c r="C5" s="5">
        <f>COUNTA('1. Data Dictionary'!#REF!,'1. Data Dictionary'!#REF!)</f>
        <v>2</v>
      </c>
    </row>
    <row r="6" spans="2:3" x14ac:dyDescent="0.3">
      <c r="B6" s="25" t="s">
        <v>416</v>
      </c>
      <c r="C6" s="26" t="e">
        <f>SUM('1. Data Dictionary'!#REF!,'1. Data Dictionary'!#REF!)</f>
        <v>#REF!</v>
      </c>
    </row>
    <row r="7" spans="2:3" x14ac:dyDescent="0.3">
      <c r="B7" s="25" t="s">
        <v>417</v>
      </c>
      <c r="C7" s="5">
        <f>COUNTA('1. Data Dictionary'!#REF!)+COUNTA('1. Data Dictionary'!#REF!)</f>
        <v>2</v>
      </c>
    </row>
    <row r="8" spans="2:3" x14ac:dyDescent="0.3">
      <c r="B8" s="25" t="s">
        <v>418</v>
      </c>
      <c r="C8" s="5">
        <f>COUNTIF('3. Data Quality Log'!F6:F20,"Open")</f>
        <v>0</v>
      </c>
    </row>
    <row r="10" spans="2:3" ht="39.75" customHeight="1" x14ac:dyDescent="0.3">
      <c r="B10" s="3" t="s">
        <v>419</v>
      </c>
      <c r="C10" s="27" t="s">
        <v>420</v>
      </c>
    </row>
    <row r="11" spans="2:3" ht="39.75" customHeight="1" x14ac:dyDescent="0.3">
      <c r="B11" s="3" t="s">
        <v>421</v>
      </c>
      <c r="C11" s="27"/>
    </row>
    <row r="12" spans="2:3" ht="39.75" customHeight="1" x14ac:dyDescent="0.3">
      <c r="B12" s="3" t="s">
        <v>422</v>
      </c>
      <c r="C12" s="27" t="s">
        <v>423</v>
      </c>
    </row>
    <row r="13" spans="2:3" ht="39.75" customHeight="1" x14ac:dyDescent="0.3">
      <c r="B13" s="3" t="s">
        <v>424</v>
      </c>
      <c r="C13" s="27" t="s">
        <v>425</v>
      </c>
    </row>
    <row r="14" spans="2:3" ht="39.75" customHeight="1" x14ac:dyDescent="0.3">
      <c r="B14" s="3" t="s">
        <v>426</v>
      </c>
      <c r="C14" s="27"/>
    </row>
    <row r="16" spans="2:3" x14ac:dyDescent="0.3">
      <c r="B16" s="25" t="s">
        <v>427</v>
      </c>
      <c r="C16" s="28"/>
    </row>
    <row r="17" spans="2:3" x14ac:dyDescent="0.3">
      <c r="B17" s="25" t="s">
        <v>428</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muzammir .</cp:lastModifiedBy>
  <cp:revision>0</cp:revision>
  <dcterms:created xsi:type="dcterms:W3CDTF">2026-08-03T06:53:21Z</dcterms:created>
  <dcterms:modified xsi:type="dcterms:W3CDTF">2026-08-21T06:06:22Z</dcterms:modified>
  <cp:category/>
  <cp:contentStatus/>
</cp:coreProperties>
</file>